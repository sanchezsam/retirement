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k_46-52" sheetId="1" r:id="rId5"/>
    <sheet state="visible" name="Sheet4" sheetId="2" r:id="rId6"/>
    <sheet state="visible" name="150k_46-52" sheetId="3" r:id="rId7"/>
    <sheet state="visible" name="Sheet3" sheetId="4" r:id="rId8"/>
    <sheet state="visible" name="Retirement Model" sheetId="5" r:id="rId9"/>
    <sheet state="visible" name="Sheet1" sheetId="6" r:id="rId10"/>
  </sheets>
  <definedNames>
    <definedName hidden="1" localSheetId="4" name="Z_826A49BF_68CC_443E_84AC_030E4F0B060F_.wvu.FilterData">'Retirement Model'!$A$14:$XFD$58</definedName>
  </definedNames>
  <calcPr/>
  <customWorkbookViews>
    <customWorkbookView activeSheetId="0" maximized="1" windowHeight="0" windowWidth="0" guid="{826A49BF-68CC-443E-84AC-030E4F0B060F}" name="Table3 filter view"/>
  </customWorkbookViews>
</workbook>
</file>

<file path=xl/sharedStrings.xml><?xml version="1.0" encoding="utf-8"?>
<sst xmlns="http://schemas.openxmlformats.org/spreadsheetml/2006/main" count="16761" uniqueCount="16595">
  <si>
    <t>RETIREMENT BUDGET</t>
  </si>
  <si>
    <t>AGE</t>
  </si>
  <si>
    <t>Num years</t>
  </si>
  <si>
    <t>Start</t>
  </si>
  <si>
    <t>End</t>
  </si>
  <si>
    <t>© 2026 Spreadsheet123 LTD. All rights reserved</t>
  </si>
  <si>
    <t>Brokerage</t>
  </si>
  <si>
    <t>Brokerage Account</t>
  </si>
  <si>
    <t>Age today</t>
  </si>
  <si>
    <t>Years to retirement</t>
  </si>
  <si>
    <t>Age at retirement</t>
  </si>
  <si>
    <t>401k</t>
  </si>
  <si>
    <t>Annual Income required at 65</t>
  </si>
  <si>
    <t>RETIREMENT INCOME SOURCES</t>
  </si>
  <si>
    <t>Years after retired</t>
  </si>
  <si>
    <t>Amount Required</t>
  </si>
  <si>
    <t>Year</t>
  </si>
  <si>
    <t>ROTH</t>
  </si>
  <si>
    <t xml:space="preserve">Withdrawl </t>
  </si>
  <si>
    <t>Balance</t>
  </si>
  <si>
    <t>INFLATION RATE</t>
  </si>
  <si>
    <t>Weekly</t>
  </si>
  <si>
    <t>Living Expenses</t>
  </si>
  <si>
    <t>Bi-Weekly</t>
  </si>
  <si>
    <t>Monthly</t>
  </si>
  <si>
    <t>Quarterly</t>
  </si>
  <si>
    <t>Annually</t>
  </si>
  <si>
    <t>fadaf</t>
  </si>
  <si>
    <t>Annual Inflation Rate</t>
  </si>
  <si>
    <t>Age</t>
  </si>
  <si>
    <t>Social Security income</t>
  </si>
  <si>
    <t>Inflation Rate %</t>
  </si>
  <si>
    <t>Husband Age</t>
  </si>
  <si>
    <t>Annual Budgeted</t>
  </si>
  <si>
    <t>Cumulative</t>
  </si>
  <si>
    <t>Wife Age</t>
  </si>
  <si>
    <t>Brokerage Cash Balance</t>
  </si>
  <si>
    <t>Net Daily Living Cash</t>
  </si>
  <si>
    <t>Est. Federal Income Tax</t>
  </si>
  <si>
    <t>Health Insurance Cost</t>
  </si>
  <si>
    <t>Total Annual Outflow</t>
  </si>
  <si>
    <t>Traditional 401(k)</t>
  </si>
  <si>
    <t>Roth Pool Balance</t>
  </si>
  <si>
    <t>Annual Roth Conversion</t>
  </si>
  <si>
    <t>Company pensions</t>
  </si>
  <si>
    <t>Rental income</t>
  </si>
  <si>
    <t>Roth</t>
  </si>
  <si>
    <t>Roth Pool consists of</t>
  </si>
  <si>
    <t>TOTAL</t>
  </si>
  <si>
    <t>HOUSING COSTS</t>
  </si>
  <si>
    <t>Mortgage or rent</t>
  </si>
  <si>
    <t>Real estate taxes</t>
  </si>
  <si>
    <t>Maintenance and repair</t>
  </si>
  <si>
    <t>Home insurance</t>
  </si>
  <si>
    <t>The numbers</t>
  </si>
  <si>
    <t>City- trash/water</t>
  </si>
  <si>
    <t>Internet</t>
  </si>
  <si>
    <t>NM Gas</t>
  </si>
  <si>
    <t>Roth 1.</t>
  </si>
  <si>
    <t>PNM - Electricity</t>
  </si>
  <si>
    <t>Roth 2</t>
  </si>
  <si>
    <t>Wifes Roth</t>
  </si>
  <si>
    <t>Appliance Insurance</t>
  </si>
  <si>
    <t>Roth 401k</t>
  </si>
  <si>
    <t>House Items</t>
  </si>
  <si>
    <t>Brokerage 1</t>
  </si>
  <si>
    <t>Termites</t>
  </si>
  <si>
    <t>Brokerage 2</t>
  </si>
  <si>
    <t>Other SC expenses</t>
  </si>
  <si>
    <t>TV SUB</t>
  </si>
  <si>
    <t>I have two paid off houses. I will sell my primary residence and move into my secondary home</t>
  </si>
  <si>
    <t>I will need 100k for daily living</t>
  </si>
  <si>
    <t>Spotify</t>
  </si>
  <si>
    <t>I want to do a roth conversion ladder and stay under the tax limit to get the cheapest health insurance</t>
  </si>
  <si>
    <t>Roth 1: $43,418.50</t>
  </si>
  <si>
    <t>Im married filling jointly</t>
  </si>
  <si>
    <t>My wife will get a pension of 2k a month at age 55. She will be 47 when we retire</t>
  </si>
  <si>
    <t>Vehicle Expenses</t>
  </si>
  <si>
    <t>I want to pay 400 a month for insurance for me and my wife</t>
  </si>
  <si>
    <t>Can you create me a table showing my balance of brokerage account,withdrawl amount, 401k balance, conversion balance over the next 20 years</t>
  </si>
  <si>
    <t>Car payment</t>
  </si>
  <si>
    <t>Fuel</t>
  </si>
  <si>
    <t>Maintenance</t>
  </si>
  <si>
    <t>lets start converting an increase in roth at age 65 since we dont care about medicare</t>
  </si>
  <si>
    <t>Roth 2: $83,812.81</t>
  </si>
  <si>
    <t>Insurance</t>
  </si>
  <si>
    <t>Other</t>
  </si>
  <si>
    <t>can you add the esitmated amount of taxes + insurance to the table</t>
  </si>
  <si>
    <t>MEDICAL EXPENSES</t>
  </si>
  <si>
    <t>Prescription drugs</t>
  </si>
  <si>
    <t>Medical insurance</t>
  </si>
  <si>
    <t>CO-Pays</t>
  </si>
  <si>
    <t>Wife's Roth: $56,096.89</t>
  </si>
  <si>
    <t>PERSONAL EXPENSES</t>
  </si>
  <si>
    <t>Gym</t>
  </si>
  <si>
    <t>Regal</t>
  </si>
  <si>
    <t>Spending</t>
  </si>
  <si>
    <t>Hygeine</t>
  </si>
  <si>
    <t>Haircuts</t>
  </si>
  <si>
    <t>Roth 401(k): $247,483.73</t>
  </si>
  <si>
    <t>Daily Living</t>
  </si>
  <si>
    <t>Groceries</t>
  </si>
  <si>
    <t>Protein</t>
  </si>
  <si>
    <t>Eating out</t>
  </si>
  <si>
    <t>Cell Phone</t>
  </si>
  <si>
    <t>Entertainment</t>
  </si>
  <si>
    <t>Garden</t>
  </si>
  <si>
    <t>Phoebe</t>
  </si>
  <si>
    <t>Yearly Planning</t>
  </si>
  <si>
    <t>Shoes</t>
  </si>
  <si>
    <t>Travel</t>
  </si>
  <si>
    <t>Flights</t>
  </si>
  <si>
    <t>Apt</t>
  </si>
  <si>
    <t>Expenses</t>
  </si>
  <si>
    <t>Total Expenses</t>
  </si>
  <si>
    <t>SUMMARY</t>
  </si>
  <si>
    <t>Total Income</t>
  </si>
  <si>
    <t>Balance per month</t>
  </si>
  <si>
    <t>Act as an expert fiduciary retirement planner and CPA. I want to build a highly structured 44-year retirement cash flow model tracking my family's assets from Year 1 to Year 44 (Wife's Age 47 to Age 90). First, record my exact starting balances and variables:</t>
  </si>
  <si>
    <t>Asset Baselines:</t>
  </si>
  <si>
    <t>- Brokerage 1: $71,313.29</t>
  </si>
  <si>
    <t>- Brokerage 2: $15,673.00</t>
  </si>
  <si>
    <t>- Traditional 401(k): $1,476,432.85</t>
  </si>
  <si>
    <t>- Roth IRAs (Combined): $183,484.20</t>
  </si>
  <si>
    <t>- Roth 401(k): $247,483.73</t>
  </si>
  <si>
    <t>- Primary House Sale Proceeds (Injected into Brokerage at Year 1): $500,000</t>
  </si>
  <si>
    <t>Core Income Streams:</t>
  </si>
  <si>
    <t>- Wife's Pension: $2,000/month ($24,000/year) starting exactly when she turns Age 55.</t>
  </si>
  <si>
    <t>- Social Security: $30,000/year starting exactly when she turns Age 62.</t>
  </si>
  <si>
    <t>Model Assumptions:</t>
  </si>
  <si>
    <t>- Investment/Portfolio Growth Rate: 6% annually (compounded on remaining balances).</t>
  </si>
  <si>
    <t>- Brokerage Cash Yield Rate: 4% annually (compounded on remaining cash balances).</t>
  </si>
  <si>
    <t>- Inflation Factor: 3% compounded annually on all base living costs.</t>
  </si>
  <si>
    <t>- Year 1 Total Base Spending Need: $100,000 (Daily Living) + $4,800 (Target Health Insurance Premium) = $104,800.</t>
  </si>
  <si>
    <t>Acknowledge these exact numbers and let me know when you are ready for the structural column layout and liquidation instructions. Do not generate the table yet.</t>
  </si>
  <si>
    <t>Now, let's program the strict liquidation hierarchy and column order for the 44-year table. The columns must run exactly left-to-right in this order:</t>
  </si>
  <si>
    <t>1. Year (1 to 44)</t>
  </si>
  <si>
    <t>2. Wife Age (47 to 90)</t>
  </si>
  <si>
    <t>3. Brokerage Start Balance</t>
  </si>
  <si>
    <t>4. 401(k) Start Balance</t>
  </si>
  <si>
    <t>5. Roth Start Balance (Combine all Roth IRAs and Roth 401k into this single pool)</t>
  </si>
  <si>
    <t>6. Inflated Total Spending Need (Compounded annually at 3% inflation from the $104,800 Year 1 base)</t>
  </si>
  <si>
    <t>7. From Brokerage (Withdrawal source 1)</t>
  </si>
  <si>
    <t>8. From Roth (Withdrawal source 2)</t>
  </si>
  <si>
    <t>9. From 401(k) (Withdrawal source 3)</t>
  </si>
  <si>
    <t>10. From Pension/SS (Withdrawal source 4)</t>
  </si>
  <si>
    <t>11. Mandatory RMD (SECURE Act 2.0 rules: Calculate Required Minimum Distributions using the Uniform Lifetime Table factor starting exactly at Wife's Age 75 on the 401k balance)</t>
  </si>
  <si>
    <t>12. Max Roth Conversion</t>
  </si>
  <si>
    <t>13. Estimated Dividends &amp; Capital Gains</t>
  </si>
  <si>
    <t>14. Estimated Federal Taxes</t>
  </si>
  <si>
    <t>Apply these strict asset drawdown rules:</t>
  </si>
  <si>
    <t xml:space="preserve">Rule A (The Pre-60 Penalty Sandbox): To avoid the 10% IRS early withdrawal penalty, the 'From 401k' column must remain exactly $0 from Wife's Age 47 to Age 59. </t>
  </si>
  <si>
    <t>Rule B (The Funding Hierarchy): Annual Inflated Total Spending Need must be funded by 'From Pension/SS' first. Shortfalls must be pulled from Brokerage Start Balance until it hits zero. Once Brokerage is empty, if the Wife is under Age 60, pull shortfalls from 'From Roth'. Once she turns Age 60, pull shortfalls from 'From 401k'.</t>
  </si>
  <si>
    <t>Rule C (Safe Asset Floor): Program a MAX(0, ...) logic constraint so that if any asset column is fully depleted, it displays $0.00 instead of dropping into a negative number.</t>
  </si>
  <si>
    <t>Confirm you understand these liquidation logic paths.</t>
  </si>
  <si>
    <t>Finally, let's program the dynamic tax and ACA health subsidy logic before generating the table:</t>
  </si>
  <si>
    <t>ACA Health Subsidy Rules:</t>
  </si>
  <si>
    <t>- From Wife's Age 47 to Age 64, my family must stay under the statutory ACA Premium Tax Credit subsidy cliff of $84,600 to keep health insurance premiums at our $400/month target.</t>
  </si>
  <si>
    <t xml:space="preserve">- To achieve this, the 'Max Roth Conversion' column must be a dynamic formula: It must take the $84,600 cliff limit and completely subtract 'Estimated Dividends', 'From Pension/SS', and any taxable 401(k) withdrawals. </t>
  </si>
  <si>
    <t>- At Wife's Age 65, we transition to Medicare and no longer care about the ACA cliff. Set the 'Max Roth Conversion' to a flat $85,000 annually from Age 65 onward.</t>
  </si>
  <si>
    <t>Estimated Dividends and Taxes:</t>
  </si>
  <si>
    <t>- Calculate 'Estimated Dividends &amp; Capital Gains' as a flat 4% yield on the Brokerage Start Balance.</t>
  </si>
  <si>
    <t>Please generate the complete 44-year chronological matrix now, showing rows for milestone years (Years 1, 2, 5, 6, 7, 8, 9, 10, 13, 14, 16, 20, 25, 28, 29, 30, 31, 40, and 44) so I can verify the asset transition points.</t>
  </si>
  <si>
    <t>Im year younger then my wife, use my age to withdrawl from 401k at age 60</t>
  </si>
  <si>
    <t>Ending Total</t>
  </si>
  <si>
    <t>Combined Wealth (Age 74)</t>
  </si>
  <si>
    <t>Summary of Your Withdrawal Flow</t>
  </si>
  <si>
    <t>To fund early retirement seamlessly, your money flows across four distinct phases:</t>
  </si>
  <si>
    <t>[Years 1–5]   Phase 1: Clear out your Brokerage Cash (Home Sale Proceeds)</t>
  </si>
  <si>
    <t>[Years 6–8]   Phase 2: Use your personal Roth IRA Contributions</t>
  </si>
  <si>
    <t>[Years 9–15]  Phase 3: Combine your Wife's Pension + Matured Roth Conversions</t>
  </si>
  <si>
    <t>[Years 16–30] Phase 4: Shift lifestyle withdrawals to your Traditional 401(k)</t>
  </si>
  <si>
    <t>🗒️ Phase-by-Phase Execution Guide</t>
  </si>
  <si>
    <t>🛠️ Phase 1: The Brokerage Cash Era (Ages 45 to 49)</t>
  </si>
  <si>
    <t>Where: Your Taxable Brokerage Accounts (holding your $500,000 home sale proceeds + existing $86,986).</t>
  </si>
  <si>
    <t>When: Years 1 through 5 of retirement.</t>
  </si>
  <si>
    <t>The Actions:</t>
  </si>
  <si>
    <t>Every month, transfer roughly $5,400 to $6,000 directly from your Brokerage Account to your checking account to fund daily living. Because this is your own cash principal, it is 100% tax-free and invisible to the ACA health insurance marketplace.</t>
  </si>
  <si>
    <t>The Tax Move: Every December, log into your Traditional 401(k)/IRA and perform a $55,000 Roth Conversion. Transfer that money to your Roth IRA. You will pay a tiny federal tax bill (~$2,250) using your brokerage cash. This keeps your household MAGI at exactly $75,000, maintaining your cheap health insurance.</t>
  </si>
  <si>
    <t>🛠️ Phase 2: Tapping the Roth Contributions (Ages 50 to 52)</t>
  </si>
  <si>
    <t>Where: Your Personal Roth IRAs (Roth 1 and Roth 2).</t>
  </si>
  <si>
    <t>When: Years 6 through 8.</t>
  </si>
  <si>
    <t>Your Brokerage Cash hits $0 in Year 6. You will now log into your personal Roth IRAs.</t>
  </si>
  <si>
    <t>You will begin withdrawing $127,000+ (adjusted for inflation) directly from your Roth IRA to fund your life.</t>
  </si>
  <si>
    <t>The Rule: You are strictly withdrawing your original lifetime contributions, not your investment earnings. IRS rules allow you to withdraw original Roth contributions at any age, for any reason, 100% tax- and penalty-free.</t>
  </si>
  <si>
    <t>The Tax Move: Keep executing your $55,000 annual Roth Conversion to keep building your future ladder.</t>
  </si>
  <si>
    <t>🛠️ Phase 3: The Pension &amp; Matured Roth Ladder (Ages 53 to 59)</t>
  </si>
  <si>
    <t>Where: Your Wife's Pension Plan + Your personal Roth IRA.</t>
  </si>
  <si>
    <t>When: Years 9 through 15 (Starts when your wife turns 55).</t>
  </si>
  <si>
    <t>The Pension: Your wife's $2,000/month pension kicks in automatically. This guaranteed income goes straight into your checking account, covering $24,000 of your annual budget.</t>
  </si>
  <si>
    <t>The Roth Ladder: To cover the remaining shortfall, log into your Roth IRA. The $55,000 conversions you performed back when you were 45 and 46 have now finished their mandatory 5-year IRS waiting period. They are fully "matured" and can be withdrawn completely penalty-free.</t>
  </si>
  <si>
    <t>The Tax Move: Because the pension adds $24,000 of taxable income, you must log in and scale back your annual Roth conversion to $31,000. This keeps your total MAGI perfectly clamped at $75,000 so your $400/mo health insurance premium stays locked.</t>
  </si>
  <si>
    <t>🛠️ Phase 4: The Traditional 401(k) Takeover (Ages 60 to 74+)</t>
  </si>
  <si>
    <t>Where: Your Traditional 401(k) / Traditional IRA.</t>
  </si>
  <si>
    <t>When: Year 16 through Year 30 (Starts the year you turn 60).</t>
  </si>
  <si>
    <t>You have officially reached age 60, meaning your Traditional 401(k) is wide open and can be accessed entirely penalty-free.</t>
  </si>
  <si>
    <t>The Pivot: Stop taking money out of your Roth accounts. Leave your Roth pool alone so it can compound. Instead, set up an automatic monthly distribution from your Traditional 401(k) to your checking account to cover your lifestyle shortfalls.</t>
  </si>
  <si>
    <t>The Age 65 Milestone: When you turn 65, you switch to Medicare. You no longer care about health insurance subsidies. At this point, escalate your annual Roth conversions to $120,000 to rapidly shrink your traditional accounts and shield your wealth from massive Required Minimum Distributions (RMDs) later in life.</t>
  </si>
  <si>
    <t>˙øˆ</t>
  </si>
  <si>
    <t>Portfolio Growth Rate</t>
  </si>
  <si>
    <t>Wife's Pension (at Age 55)</t>
  </si>
  <si>
    <t>Cash Yield Rate</t>
  </si>
  <si>
    <t>Social Security (at Age 62)</t>
  </si>
  <si>
    <t>Inflation Factor</t>
  </si>
  <si>
    <t>Year 1 Living Need</t>
  </si>
  <si>
    <t>Brokerage 1 Start</t>
  </si>
  <si>
    <t>Year 1 Health Insurance</t>
  </si>
  <si>
    <t>Brokerage 2 Start</t>
  </si>
  <si>
    <t>Husband Age Offset vs Wife</t>
  </si>
  <si>
    <t>Primary House Proceeds</t>
  </si>
  <si>
    <t>ACA Subsidy Cliff Cap</t>
  </si>
  <si>
    <t>Traditional 401(k) Start</t>
  </si>
  <si>
    <t>Post-65 Roth Conv Cap</t>
  </si>
  <si>
    <t>Roth Pools Start</t>
  </si>
  <si>
    <t>Brokerage Start</t>
  </si>
  <si>
    <t>401(k) Start</t>
  </si>
  <si>
    <t>Roth Start</t>
  </si>
  <si>
    <t>Inflated Base Cost</t>
  </si>
  <si>
    <t>Healthcare Cost</t>
  </si>
  <si>
    <t>Estimated Federal Taxes</t>
  </si>
  <si>
    <t>Total Outflow (Target)</t>
  </si>
  <si>
    <t>From Pension/SS</t>
  </si>
  <si>
    <t>From Brokerage</t>
  </si>
  <si>
    <t>From Roth</t>
  </si>
  <si>
    <t>From 401(k)</t>
  </si>
  <si>
    <t>Brokerage End</t>
  </si>
  <si>
    <t>Max Roth Conversion</t>
  </si>
  <si>
    <t>401(k) End</t>
  </si>
  <si>
    <t>Roth End</t>
  </si>
  <si>
    <t>Estimated Dividends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</si>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</sst>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0.0%"/>
    <numFmt numFmtId="167" formatCode="\$#,##0.00"/>
  </numFmts>
  <fonts count="34">
    <font>
      <sz val="10.0"/>
      <color rgb="FF000000"/>
      <name val="Calibri"/>
      <scheme val="minor"/>
    </font>
    <font>
      <sz val="22.0"/>
      <color rgb="FFFFFFFF"/>
      <name val="Arial"/>
    </font>
    <font>
      <b/>
      <color rgb="FFFFFFFF"/>
      <name val="Arial"/>
    </font>
    <font>
      <sz val="9.0"/>
      <color theme="1"/>
      <name val="Arial"/>
    </font>
    <font>
      <b/>
      <u/>
      <color rgb="FF336887"/>
      <name val="Arial"/>
    </font>
    <font>
      <color rgb="FFFFFFFF"/>
      <name val="Arial"/>
    </font>
    <font>
      <color theme="1"/>
      <name val="Arial"/>
    </font>
    <font>
      <b/>
      <u/>
      <color rgb="FF336887"/>
      <name val="Arial"/>
    </font>
    <font>
      <b/>
      <sz val="11.0"/>
      <color rgb="FFFFFFFF"/>
      <name val="Calibri"/>
    </font>
    <font>
      <sz val="11.0"/>
      <color theme="1"/>
      <name val="Calibri"/>
    </font>
    <font>
      <color theme="1"/>
      <name val="Calibri"/>
      <scheme val="minor"/>
    </font>
    <font>
      <b/>
      <color rgb="FFB3122D"/>
      <name val="Arial"/>
    </font>
    <font>
      <b/>
      <color theme="1"/>
      <name val="Arial"/>
    </font>
    <font>
      <b/>
      <sz val="11.0"/>
      <color theme="1"/>
      <name val="Calibri"/>
    </font>
    <font>
      <sz val="12.0"/>
      <color theme="1"/>
      <name val="Trebuchet MS"/>
    </font>
    <font>
      <sz val="12.0"/>
      <color theme="1"/>
      <name val="Arial"/>
    </font>
    <font>
      <b/>
      <sz val="12.0"/>
      <color theme="1"/>
      <name val="Times"/>
    </font>
    <font>
      <sz val="12.0"/>
      <color theme="1"/>
      <name val="Times"/>
    </font>
    <font>
      <sz val="12.0"/>
      <color theme="1"/>
      <name val="Calibri"/>
    </font>
    <font>
      <b/>
      <color theme="1"/>
      <name val="Trebuchet MS"/>
    </font>
    <font>
      <b/>
      <sz val="12.0"/>
      <color theme="1"/>
      <name val="Arial"/>
    </font>
    <font>
      <color theme="1"/>
      <name val="Trebuchet MS"/>
    </font>
    <font>
      <b/>
      <sz val="12.0"/>
      <color theme="1"/>
      <name val="Google Sans"/>
    </font>
    <font>
      <sz val="11.0"/>
      <color theme="1"/>
      <name val="Google Sans"/>
    </font>
    <font>
      <b/>
      <sz val="12.0"/>
      <color theme="1"/>
      <name val="Calibri"/>
    </font>
    <font>
      <b/>
      <color theme="1"/>
      <name val="Calibri"/>
      <scheme val="minor"/>
    </font>
    <font>
      <sz val="11.0"/>
      <color rgb="FF000000"/>
      <name val="Calibri"/>
    </font>
    <font>
      <sz val="15.0"/>
      <color theme="1"/>
      <name val="Google Sans"/>
    </font>
    <font>
      <sz val="11.0"/>
      <color theme="1"/>
      <name val="Monospace"/>
    </font>
    <font>
      <sz val="12.0"/>
      <color theme="1"/>
      <name val="Google Sans"/>
    </font>
    <font>
      <b/>
      <sz val="16.0"/>
      <color rgb="FF1F4E78"/>
      <name val="Arial"/>
    </font>
    <font>
      <b/>
      <sz val="10.0"/>
      <color theme="1"/>
      <name val="Arial"/>
    </font>
    <font>
      <sz val="10.0"/>
      <color theme="1"/>
      <name val="Arial"/>
    </font>
    <font>
      <b/>
      <sz val="10.0"/>
      <color rgb="FFFFFFFF"/>
      <name val="Arial"/>
    </font>
  </fonts>
  <fills count="14">
    <fill>
      <patternFill patternType="none"/>
    </fill>
    <fill>
      <patternFill patternType="lightGray"/>
    </fill>
    <fill>
      <patternFill patternType="solid">
        <fgColor rgb="FF004269"/>
        <bgColor rgb="FF004269"/>
      </patternFill>
    </fill>
    <fill>
      <patternFill patternType="solid">
        <fgColor rgb="FF336887"/>
        <bgColor rgb="FF336887"/>
      </patternFill>
    </fill>
    <fill>
      <patternFill patternType="solid">
        <fgColor rgb="FF1F4E78"/>
        <bgColor rgb="FF1F4E78"/>
      </patternFill>
    </fill>
    <fill>
      <patternFill patternType="solid">
        <fgColor rgb="FFCCD9E1"/>
        <bgColor rgb="FFCCD9E1"/>
      </patternFill>
    </fill>
    <fill>
      <patternFill patternType="solid">
        <fgColor rgb="FF587F03"/>
        <bgColor rgb="FF587F03"/>
      </patternFill>
    </fill>
    <fill>
      <patternFill patternType="solid">
        <fgColor rgb="FF4D4D4D"/>
        <bgColor rgb="FF4D4D4D"/>
      </patternFill>
    </fill>
    <fill>
      <patternFill patternType="solid">
        <fgColor rgb="FFD9EDC1"/>
        <bgColor rgb="FFD9EDC1"/>
      </patternFill>
    </fill>
    <fill>
      <patternFill patternType="solid">
        <fgColor rgb="FFF3F3F3"/>
        <bgColor rgb="FFF3F3F3"/>
      </patternFill>
    </fill>
    <fill>
      <patternFill patternType="solid">
        <fgColor rgb="FFFFFFFF"/>
        <bgColor rgb="FFFFFFFF"/>
      </patternFill>
    </fill>
    <fill>
      <patternFill patternType="solid">
        <fgColor rgb="FFD3DDEE"/>
        <bgColor rgb="FFD3DDEE"/>
      </patternFill>
    </fill>
    <fill>
      <patternFill patternType="solid">
        <fgColor rgb="FFF2F2F2"/>
        <bgColor rgb="FFF2F2F2"/>
      </patternFill>
    </fill>
    <fill>
      <patternFill patternType="solid">
        <fgColor rgb="FFDDEBF7"/>
        <bgColor rgb="FFDDEBF7"/>
      </patternFill>
    </fill>
  </fills>
  <borders count="12">
    <border/>
    <border>
      <left style="thin">
        <color rgb="FFFFFFFF"/>
      </left>
      <right style="thin">
        <color rgb="FFFFFFFF"/>
      </right>
      <bottom style="thin">
        <color rgb="FFFFFFFF"/>
      </bottom>
    </border>
    <border>
      <left style="thin">
        <color rgb="FFBFBFBF"/>
      </left>
      <right style="thin">
        <color rgb="FFBFBFBF"/>
      </right>
      <top style="thin">
        <color rgb="FFBFBFBF"/>
      </top>
      <bottom style="thin">
        <color rgb="FFBFBFBF"/>
      </bottom>
    </border>
    <border>
      <top style="thin">
        <color rgb="FF587F03"/>
      </top>
      <bottom style="thin">
        <color rgb="FF587F03"/>
      </bottom>
    </border>
    <border>
      <left/>
      <right/>
      <top style="thin">
        <color rgb="FFBFBFBF"/>
      </top>
      <bottom/>
    </border>
    <border>
      <bottom style="thin">
        <color rgb="FF004269"/>
      </bottom>
    </border>
    <border>
      <top style="thin">
        <color rgb="FF004269"/>
      </top>
      <bottom style="thin">
        <color rgb="FF004269"/>
      </bottom>
    </border>
    <border>
      <bottom style="double">
        <color rgb="FF1F4E78"/>
      </bottom>
    </border>
    <border>
      <left/>
      <right/>
      <top/>
      <bottom/>
    </border>
    <border>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ill="1" applyFont="1">
      <alignment shrinkToFit="0" wrapText="0"/>
    </xf>
    <xf borderId="0" fillId="0" fontId="2" numFmtId="0" xfId="0" applyAlignment="1" applyFont="1">
      <alignment horizontal="left" shrinkToFit="0" vertical="bottom" wrapText="0"/>
    </xf>
    <xf borderId="1" fillId="0" fontId="3" numFmtId="0" xfId="0" applyAlignment="1" applyBorder="1" applyFont="1">
      <alignment horizontal="right" readingOrder="0" shrinkToFit="0" vertical="bottom" wrapText="0"/>
    </xf>
    <xf borderId="0" fillId="0" fontId="4" numFmtId="0" xfId="0" applyAlignment="1" applyFont="1">
      <alignment horizontal="center" shrinkToFit="0" vertical="bottom" wrapText="0"/>
    </xf>
    <xf borderId="0" fillId="3" fontId="5" numFmtId="0" xfId="0" applyAlignment="1" applyFill="1" applyFont="1">
      <alignment horizontal="left" readingOrder="0" shrinkToFit="0" wrapText="0"/>
    </xf>
    <xf borderId="0" fillId="3" fontId="5" numFmtId="0" xfId="0" applyAlignment="1" applyFill="1" applyFont="1">
      <alignment shrinkToFit="0" wrapText="0"/>
    </xf>
    <xf borderId="0" fillId="0" fontId="2"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horizontal="left" readingOrder="0" shrinkToFit="0" wrapText="0"/>
    </xf>
    <xf borderId="0" fillId="0" fontId="6" numFmtId="0" xfId="0" applyAlignment="1" applyFont="1">
      <alignment horizontal="right" readingOrder="0" shrinkToFit="0" wrapText="0"/>
    </xf>
    <xf borderId="0" fillId="0" fontId="6" numFmtId="0" xfId="0" applyAlignment="1" applyFont="1">
      <alignment shrinkToFit="0" wrapText="0"/>
    </xf>
    <xf borderId="0" fillId="0" fontId="6" numFmtId="0" xfId="0" applyAlignment="1" applyFont="1">
      <alignment readingOrder="0" shrinkToFit="0" wrapText="0"/>
    </xf>
    <xf borderId="0" fillId="0" fontId="6" numFmtId="0" xfId="0" applyAlignment="1" applyFont="1">
      <alignment horizontal="center" readingOrder="0" shrinkToFit="0" wrapText="0"/>
    </xf>
    <xf borderId="0" fillId="0" fontId="6" numFmtId="0" xfId="0" applyAlignment="1" applyFont="1">
      <alignment horizontal="left" shrinkToFit="0" vertical="top" wrapText="0"/>
    </xf>
    <xf borderId="0" fillId="0" fontId="3" numFmtId="0" xfId="0" applyAlignment="1" applyFont="1">
      <alignment horizontal="right" readingOrder="0" shrinkToFit="0" vertical="bottom" wrapText="0"/>
    </xf>
    <xf borderId="0" fillId="0" fontId="7" numFmtId="0" xfId="0" applyAlignment="1" applyFont="1">
      <alignment horizontal="left" shrinkToFit="0" vertical="bottom" wrapText="0"/>
    </xf>
    <xf borderId="2" fillId="4" fontId="8" numFmtId="0" xfId="0" applyAlignment="1" applyBorder="1" applyFill="1" applyFont="1">
      <alignment horizontal="center" readingOrder="0" shrinkToFit="0" wrapText="1"/>
    </xf>
    <xf borderId="0" fillId="3" fontId="5" numFmtId="0" xfId="0" applyAlignment="1" applyFill="1" applyFont="1">
      <alignment horizontal="left" shrinkToFit="0" wrapText="0"/>
    </xf>
    <xf borderId="2" fillId="0" fontId="9" numFmtId="0" xfId="0" applyAlignment="1" applyBorder="1" applyFont="1">
      <alignment horizontal="center" readingOrder="0" shrinkToFit="0" wrapText="0"/>
    </xf>
    <xf borderId="0" fillId="5" fontId="5" numFmtId="0" xfId="0" applyAlignment="1" applyFill="1" applyFont="1">
      <alignment shrinkToFit="0" vertical="bottom" wrapText="0"/>
    </xf>
    <xf borderId="0" fillId="0" fontId="8" numFmtId="0" xfId="0" applyAlignment="1" applyFont="1">
      <alignment horizontal="center" readingOrder="0" shrinkToFit="0" wrapText="1"/>
    </xf>
    <xf borderId="0" fillId="5" fontId="2" numFmtId="0" xfId="0" applyAlignment="1" applyFill="1" applyFont="1">
      <alignment shrinkToFit="0" vertical="bottom" wrapText="0"/>
    </xf>
    <xf borderId="0" fillId="0" fontId="10" numFmtId="0" xfId="0" applyAlignment="1" applyFont="1">
      <alignment readingOrder="0"/>
    </xf>
    <xf borderId="0" fillId="5" fontId="6" numFmtId="0" xfId="0" applyAlignment="1" applyFill="1" applyFont="1">
      <alignment horizontal="left" readingOrder="0" shrinkToFit="0" wrapText="0"/>
    </xf>
    <xf borderId="0" fillId="5" fontId="6" numFmtId="0" xfId="0" applyAlignment="1" applyFill="1" applyFont="1">
      <alignment shrinkToFit="0" wrapText="0"/>
    </xf>
    <xf borderId="0" fillId="0" fontId="10" numFmtId="0" xfId="0" applyAlignment="1" applyFont="1">
      <alignment shrinkToFit="0" wrapText="1"/>
    </xf>
    <xf borderId="0" fillId="5" fontId="6" numFmtId="0" xfId="0" applyAlignment="1" applyFill="1" applyFont="1">
      <alignment horizontal="center" readingOrder="0" shrinkToFit="0" wrapText="0"/>
    </xf>
    <xf borderId="0" fillId="0" fontId="6" numFmtId="0" xfId="0" applyAlignment="1" applyFont="1">
      <alignment shrinkToFit="0" vertical="bottom" wrapText="0"/>
    </xf>
    <xf borderId="0" fillId="5" fontId="6" numFmtId="0" xfId="0" applyAlignment="1" applyFill="1" applyFont="1">
      <alignment horizontal="right" shrinkToFit="0" wrapText="0"/>
    </xf>
    <xf borderId="0" fillId="0" fontId="6" numFmtId="0" xfId="0" applyAlignment="1" applyFont="1">
      <alignment horizontal="right" shrinkToFit="0" vertical="bottom" wrapText="0"/>
    </xf>
    <xf borderId="0" fillId="5" fontId="6" numFmtId="0" xfId="0" applyAlignment="1" applyFill="1" applyFont="1">
      <alignment horizontal="right" readingOrder="0" shrinkToFit="0" wrapText="0"/>
    </xf>
    <xf borderId="0" fillId="5" fontId="6" numFmtId="3" xfId="0" applyAlignment="1" applyFill="1" applyFont="1" applyNumberFormat="1">
      <alignment horizontal="right" readingOrder="0" shrinkToFit="0" wrapText="0"/>
    </xf>
    <xf borderId="2" fillId="0" fontId="9" numFmtId="164" xfId="0" applyAlignment="1" applyBorder="1" applyFont="1" applyNumberFormat="1">
      <alignment horizontal="right" readingOrder="0" shrinkToFit="0" wrapText="0"/>
    </xf>
    <xf borderId="0" fillId="6" fontId="5" numFmtId="0" xfId="0" applyAlignment="1" applyFill="1" applyFont="1">
      <alignment horizontal="left" readingOrder="0" shrinkToFit="0" wrapText="0"/>
    </xf>
    <xf borderId="0" fillId="6" fontId="5" numFmtId="0" xfId="0" applyAlignment="1" applyFill="1" applyFont="1">
      <alignment shrinkToFit="0" wrapText="0"/>
    </xf>
    <xf borderId="0" fillId="5" fontId="11" numFmtId="0" xfId="0" applyAlignment="1" applyFill="1" applyFont="1">
      <alignment horizontal="center" shrinkToFit="0" vertical="bottom" wrapText="0"/>
    </xf>
    <xf borderId="0" fillId="5" fontId="2" numFmtId="0" xfId="0" applyAlignment="1" applyFill="1" applyFont="1">
      <alignment horizontal="left" shrinkToFit="0" vertical="bottom" wrapText="0"/>
    </xf>
    <xf borderId="0" fillId="0" fontId="12" numFmtId="0" xfId="0" applyAlignment="1" applyFont="1">
      <alignment shrinkToFit="0" wrapText="0"/>
    </xf>
    <xf borderId="0" fillId="0" fontId="12" numFmtId="0" xfId="0" applyAlignment="1" applyFont="1">
      <alignment horizontal="center" readingOrder="0" shrinkToFit="0" wrapText="0"/>
    </xf>
    <xf borderId="0" fillId="3" fontId="2" numFmtId="0" xfId="0" applyAlignment="1" applyFill="1" applyFont="1">
      <alignment shrinkToFit="0" wrapText="0"/>
    </xf>
    <xf borderId="0" fillId="0" fontId="6" numFmtId="10" xfId="0" applyAlignment="1" applyFont="1" applyNumberFormat="1">
      <alignment horizontal="center" readingOrder="0" shrinkToFit="0" wrapText="0"/>
    </xf>
    <xf borderId="0" fillId="0" fontId="13" numFmtId="0" xfId="0" applyAlignment="1" applyFont="1">
      <alignment horizontal="center" readingOrder="0" shrinkToFit="0" wrapText="1"/>
    </xf>
    <xf borderId="0" fillId="0" fontId="10" numFmtId="164" xfId="0" applyFont="1" applyNumberFormat="1"/>
    <xf borderId="0" fillId="5" fontId="6" numFmtId="0" xfId="0" applyAlignment="1" applyFill="1" applyFont="1">
      <alignment shrinkToFit="0" vertical="bottom" wrapText="0"/>
    </xf>
    <xf borderId="0" fillId="5" fontId="6" numFmtId="0" xfId="0" applyAlignment="1" applyFill="1" applyFont="1">
      <alignment horizontal="right" shrinkToFit="0" vertical="bottom" wrapText="0"/>
    </xf>
    <xf borderId="0" fillId="7" fontId="2" numFmtId="0" xfId="0" applyAlignment="1" applyFill="1" applyFont="1">
      <alignment horizontal="left" readingOrder="0" shrinkToFit="0" wrapText="0"/>
    </xf>
    <xf borderId="0" fillId="7" fontId="2" numFmtId="0" xfId="0" applyAlignment="1" applyFill="1" applyFont="1">
      <alignment readingOrder="0" shrinkToFit="0" wrapText="0"/>
    </xf>
    <xf borderId="0" fillId="0" fontId="13" numFmtId="0" xfId="0" applyAlignment="1" applyFont="1">
      <alignment horizontal="center" readingOrder="0" shrinkToFit="0" vertical="center" wrapText="1"/>
    </xf>
    <xf borderId="0" fillId="7" fontId="6" numFmtId="0" xfId="0" applyAlignment="1" applyFill="1" applyFont="1">
      <alignment shrinkToFit="0" wrapText="0"/>
    </xf>
    <xf borderId="0" fillId="7" fontId="2" numFmtId="0" xfId="0" applyAlignment="1" applyFill="1" applyFont="1">
      <alignment horizontal="center" readingOrder="0" shrinkToFit="0" wrapText="0"/>
    </xf>
    <xf borderId="0" fillId="0" fontId="6" numFmtId="0" xfId="0" applyAlignment="1" applyFont="1">
      <alignment horizontal="left" shrinkToFit="0" wrapText="0"/>
    </xf>
    <xf borderId="0" fillId="0" fontId="6" numFmtId="10" xfId="0" applyAlignment="1" applyFont="1" applyNumberFormat="1">
      <alignment horizontal="left" readingOrder="0" shrinkToFit="0" wrapText="0"/>
    </xf>
    <xf borderId="0" fillId="0" fontId="5" numFmtId="0" xfId="0" applyAlignment="1" applyFont="1">
      <alignment horizontal="right" readingOrder="0" shrinkToFit="0" wrapText="0"/>
    </xf>
    <xf borderId="0" fillId="0" fontId="6" numFmtId="3" xfId="0" applyAlignment="1" applyFont="1" applyNumberFormat="1">
      <alignment horizontal="center" readingOrder="0" shrinkToFit="0" wrapText="0"/>
    </xf>
    <xf borderId="0" fillId="0" fontId="6" numFmtId="164" xfId="0" applyAlignment="1" applyFont="1" applyNumberFormat="1">
      <alignment horizontal="right" shrinkToFit="0" wrapText="0"/>
    </xf>
    <xf borderId="0" fillId="8" fontId="6" numFmtId="164" xfId="0" applyAlignment="1" applyFill="1" applyFont="1" applyNumberFormat="1">
      <alignment horizontal="right" readingOrder="0" shrinkToFit="0" wrapText="0"/>
    </xf>
    <xf borderId="0" fillId="0" fontId="9" numFmtId="0" xfId="0" applyAlignment="1" applyFont="1">
      <alignment readingOrder="0" shrinkToFit="0" vertical="center" wrapText="0"/>
    </xf>
    <xf borderId="0" fillId="0" fontId="10" numFmtId="0" xfId="0" applyFont="1"/>
    <xf borderId="0" fillId="0" fontId="9" numFmtId="164" xfId="0" applyAlignment="1" applyFont="1" applyNumberFormat="1">
      <alignment readingOrder="0" shrinkToFit="0" vertical="center" wrapText="0"/>
    </xf>
    <xf borderId="0" fillId="8" fontId="6" numFmtId="164" xfId="0" applyAlignment="1" applyFill="1" applyFont="1" applyNumberFormat="1">
      <alignment horizontal="right" shrinkToFit="0" wrapText="0"/>
    </xf>
    <xf borderId="0" fillId="0" fontId="5" numFmtId="0" xfId="0" applyAlignment="1" applyFont="1">
      <alignment horizontal="left" readingOrder="0" shrinkToFit="0" wrapText="0"/>
    </xf>
    <xf borderId="0" fillId="0" fontId="5" numFmtId="0" xfId="0" applyAlignment="1" applyFont="1">
      <alignment shrinkToFit="0" wrapText="0"/>
    </xf>
    <xf borderId="0" fillId="0" fontId="5" numFmtId="0" xfId="0" applyAlignment="1" applyFont="1">
      <alignment horizontal="center" readingOrder="0" shrinkToFit="0" wrapText="0"/>
    </xf>
    <xf borderId="0" fillId="0" fontId="6" numFmtId="0" xfId="0" applyAlignment="1" applyFont="1">
      <alignment readingOrder="0" shrinkToFit="0" vertical="bottom" wrapText="0"/>
    </xf>
    <xf borderId="3" fillId="8" fontId="12" numFmtId="0" xfId="0" applyAlignment="1" applyBorder="1" applyFill="1" applyFont="1">
      <alignment horizontal="left" readingOrder="0" shrinkToFit="0" wrapText="0"/>
    </xf>
    <xf borderId="3" fillId="8" fontId="12" numFmtId="4" xfId="0" applyAlignment="1" applyBorder="1" applyFill="1" applyFont="1" applyNumberFormat="1">
      <alignment horizontal="right" readingOrder="0" shrinkToFit="0" wrapText="0"/>
    </xf>
    <xf borderId="3" fillId="8" fontId="12" numFmtId="0" xfId="0" applyAlignment="1" applyBorder="1" applyFill="1" applyFont="1">
      <alignment shrinkToFit="0" wrapText="0"/>
    </xf>
    <xf borderId="0" fillId="9" fontId="9" numFmtId="0" xfId="0" applyAlignment="1" applyFill="1" applyFont="1">
      <alignment readingOrder="0" shrinkToFit="0" vertical="center" wrapText="0"/>
    </xf>
    <xf borderId="0" fillId="0" fontId="12" numFmtId="0" xfId="0" applyAlignment="1" applyFont="1">
      <alignment shrinkToFit="0" wrapText="0"/>
    </xf>
    <xf borderId="0" fillId="0" fontId="12" numFmtId="0" xfId="0" applyAlignment="1" applyFont="1">
      <alignment horizontal="left" readingOrder="0" shrinkToFit="0" wrapText="0"/>
    </xf>
    <xf borderId="0" fillId="0" fontId="6" numFmtId="164" xfId="0" applyAlignment="1" applyFont="1" applyNumberFormat="1">
      <alignment horizontal="right" readingOrder="0" shrinkToFit="0" wrapText="0"/>
    </xf>
    <xf borderId="0" fillId="9" fontId="9" numFmtId="164" xfId="0" applyAlignment="1" applyFill="1" applyFont="1" applyNumberFormat="1">
      <alignment readingOrder="0" shrinkToFit="0" vertical="center" wrapText="0"/>
    </xf>
    <xf borderId="0" fillId="0" fontId="14" numFmtId="0" xfId="0" applyAlignment="1" applyFont="1">
      <alignment vertical="bottom"/>
    </xf>
    <xf borderId="0" fillId="0" fontId="15" numFmtId="0" xfId="0" applyAlignment="1" applyFont="1">
      <alignment horizontal="center" vertical="bottom"/>
    </xf>
    <xf borderId="0" fillId="0" fontId="16" numFmtId="0" xfId="0" applyAlignment="1" applyFont="1">
      <alignment vertical="bottom"/>
    </xf>
    <xf borderId="0" fillId="0" fontId="17" numFmtId="165" xfId="0" applyAlignment="1" applyFont="1" applyNumberFormat="1">
      <alignment horizontal="center" vertical="bottom"/>
    </xf>
    <xf borderId="0" fillId="0" fontId="18" numFmtId="3" xfId="0" applyAlignment="1" applyFont="1" applyNumberFormat="1">
      <alignment horizontal="center" vertical="bottom"/>
    </xf>
    <xf borderId="0" fillId="9" fontId="10" numFmtId="164" xfId="0" applyAlignment="1" applyFill="1" applyFont="1" applyNumberFormat="1">
      <alignment shrinkToFit="0" vertical="center" wrapText="0"/>
    </xf>
    <xf borderId="0" fillId="0" fontId="15" numFmtId="3" xfId="0" applyAlignment="1" applyFont="1" applyNumberFormat="1">
      <alignment horizontal="right" vertical="bottom"/>
    </xf>
    <xf borderId="0" fillId="0" fontId="14" numFmtId="3" xfId="0" applyAlignment="1" applyFont="1" applyNumberFormat="1">
      <alignment vertical="bottom"/>
    </xf>
    <xf borderId="0" fillId="0" fontId="19" numFmtId="0" xfId="0" applyAlignment="1" applyFont="1">
      <alignment readingOrder="0"/>
    </xf>
    <xf borderId="0" fillId="0" fontId="19" numFmtId="0" xfId="0" applyFont="1"/>
    <xf borderId="0" fillId="0" fontId="16" numFmtId="4" xfId="0" applyAlignment="1" applyFont="1" applyNumberFormat="1">
      <alignment readingOrder="0" vertical="bottom"/>
    </xf>
    <xf borderId="0" fillId="0" fontId="16" numFmtId="0" xfId="0" applyAlignment="1" applyFont="1">
      <alignment readingOrder="0" vertical="bottom"/>
    </xf>
    <xf borderId="0" fillId="0" fontId="15" numFmtId="3" xfId="0" applyAlignment="1" applyFont="1" applyNumberFormat="1">
      <alignment horizontal="center" vertical="bottom"/>
    </xf>
    <xf borderId="0" fillId="0" fontId="20" numFmtId="0" xfId="0" applyAlignment="1" applyFont="1">
      <alignment readingOrder="0" vertical="bottom"/>
    </xf>
    <xf borderId="0" fillId="0" fontId="20" numFmtId="0" xfId="0" applyAlignment="1" applyFont="1">
      <alignment vertical="bottom"/>
    </xf>
    <xf borderId="0" fillId="10" fontId="21" numFmtId="164" xfId="0" applyAlignment="1" applyFill="1" applyFont="1" applyNumberFormat="1">
      <alignment readingOrder="0"/>
    </xf>
    <xf borderId="4" fillId="0" fontId="19" numFmtId="0" xfId="0" applyBorder="1" applyFont="1"/>
    <xf borderId="5" fillId="5" fontId="12" numFmtId="0" xfId="0" applyAlignment="1" applyBorder="1" applyFill="1" applyFont="1">
      <alignment horizontal="left" readingOrder="0" shrinkToFit="0" wrapText="0"/>
    </xf>
    <xf borderId="0" fillId="10" fontId="10" numFmtId="0" xfId="0" applyFill="1" applyFont="1"/>
    <xf borderId="0" fillId="10" fontId="22" numFmtId="0" xfId="0" applyAlignment="1" applyFill="1" applyFont="1">
      <alignment readingOrder="0"/>
    </xf>
    <xf borderId="5" fillId="5" fontId="12" numFmtId="0" xfId="0" applyAlignment="1" applyBorder="1" applyFill="1" applyFont="1">
      <alignment shrinkToFit="0" wrapText="0"/>
    </xf>
    <xf borderId="0" fillId="0" fontId="23" numFmtId="0" xfId="0" applyAlignment="1" applyFont="1">
      <alignment readingOrder="0"/>
    </xf>
    <xf borderId="0" fillId="0" fontId="10" numFmtId="164" xfId="0" applyAlignment="1" applyFont="1" applyNumberFormat="1">
      <alignment shrinkToFit="0" vertical="center" wrapText="0"/>
    </xf>
    <xf borderId="0" fillId="0" fontId="18" numFmtId="165" xfId="0" applyAlignment="1" applyFont="1" applyNumberFormat="1">
      <alignment horizontal="right" vertical="bottom"/>
    </xf>
    <xf borderId="0" fillId="0" fontId="24" numFmtId="3" xfId="0" applyAlignment="1" applyFont="1" applyNumberFormat="1">
      <alignment horizontal="right" vertical="bottom"/>
    </xf>
    <xf borderId="0" fillId="0" fontId="19" numFmtId="0" xfId="0" applyFont="1"/>
    <xf borderId="0" fillId="0" fontId="15" numFmtId="165" xfId="0" applyAlignment="1" applyFont="1" applyNumberFormat="1">
      <alignment horizontal="right" vertical="bottom"/>
    </xf>
    <xf borderId="0" fillId="0" fontId="22" numFmtId="0" xfId="0" applyAlignment="1" applyFont="1">
      <alignment readingOrder="0"/>
    </xf>
    <xf borderId="0" fillId="0" fontId="12" numFmtId="0" xfId="0" applyAlignment="1" applyFont="1">
      <alignment readingOrder="0" shrinkToFit="0" vertical="bottom" wrapText="0"/>
    </xf>
    <xf borderId="6" fillId="5" fontId="12" numFmtId="0" xfId="0" applyAlignment="1" applyBorder="1" applyFill="1" applyFont="1">
      <alignment horizontal="left" readingOrder="0" shrinkToFit="0" wrapText="0"/>
    </xf>
    <xf borderId="6" fillId="5" fontId="12" numFmtId="0" xfId="0" applyAlignment="1" applyBorder="1" applyFill="1" applyFont="1">
      <alignment shrinkToFit="0" wrapText="0"/>
    </xf>
    <xf borderId="4" fillId="0" fontId="19" numFmtId="0" xfId="0" applyAlignment="1" applyBorder="1" applyFont="1">
      <alignment readingOrder="0"/>
    </xf>
    <xf borderId="4" fillId="11" fontId="19" numFmtId="0" xfId="0" applyBorder="1" applyFill="1" applyFont="1"/>
    <xf borderId="0" fillId="0" fontId="25" numFmtId="0" xfId="0" applyAlignment="1" applyFont="1">
      <alignment readingOrder="0"/>
    </xf>
    <xf borderId="0" fillId="0" fontId="6" numFmtId="0" xfId="0" applyAlignment="1" applyFont="1">
      <alignment horizontal="right" shrinkToFit="0" wrapText="0"/>
    </xf>
    <xf borderId="0" fillId="0" fontId="6" numFmtId="4" xfId="0" applyAlignment="1" applyFont="1" applyNumberFormat="1">
      <alignment horizontal="right" readingOrder="0" shrinkToFit="0" wrapText="0"/>
    </xf>
    <xf borderId="0" fillId="8" fontId="6" numFmtId="4" xfId="0" applyAlignment="1" applyFill="1" applyFont="1" applyNumberFormat="1">
      <alignment readingOrder="0" shrinkToFit="0" wrapText="0"/>
    </xf>
    <xf borderId="0" fillId="8" fontId="12" numFmtId="0" xfId="0" applyAlignment="1" applyFill="1" applyFont="1">
      <alignment shrinkToFit="0" vertical="bottom" wrapText="0"/>
    </xf>
    <xf borderId="0" fillId="8" fontId="6" numFmtId="0" xfId="0" applyAlignment="1" applyFill="1" applyFont="1">
      <alignment shrinkToFit="0" vertical="bottom" wrapText="0"/>
    </xf>
    <xf borderId="0" fillId="8" fontId="6" numFmtId="0" xfId="0" applyAlignment="1" applyFill="1" applyFont="1">
      <alignment horizontal="left" readingOrder="0" shrinkToFit="0" wrapText="0"/>
    </xf>
    <xf borderId="0" fillId="8" fontId="6" numFmtId="0" xfId="0" applyAlignment="1" applyFill="1" applyFont="1">
      <alignment shrinkToFit="0" wrapText="0"/>
    </xf>
    <xf borderId="0" fillId="8" fontId="6" numFmtId="0" xfId="0" applyAlignment="1" applyFill="1" applyFont="1">
      <alignment readingOrder="0" shrinkToFit="0" vertical="bottom" wrapText="0"/>
    </xf>
    <xf borderId="0" fillId="12" fontId="9" numFmtId="0" xfId="0" applyAlignment="1" applyFill="1" applyFont="1">
      <alignment readingOrder="0" shrinkToFit="0" vertical="center" wrapText="0"/>
    </xf>
    <xf borderId="0" fillId="12" fontId="9" numFmtId="164" xfId="0" applyAlignment="1" applyFill="1" applyFont="1" applyNumberFormat="1">
      <alignment readingOrder="0" shrinkToFit="0" vertical="center" wrapText="0"/>
    </xf>
    <xf borderId="7" fillId="0" fontId="13" numFmtId="0" xfId="0" applyAlignment="1" applyBorder="1" applyFont="1">
      <alignment readingOrder="0" shrinkToFit="0" vertical="center" wrapText="0"/>
    </xf>
    <xf borderId="7" fillId="0" fontId="26" numFmtId="0" xfId="0" applyAlignment="1" applyBorder="1" applyFont="1">
      <alignment shrinkToFit="0" vertical="bottom" wrapText="0"/>
    </xf>
    <xf borderId="7" fillId="0" fontId="26" numFmtId="164" xfId="0" applyAlignment="1" applyBorder="1" applyFont="1" applyNumberFormat="1">
      <alignment shrinkToFit="0" vertical="bottom" wrapText="0"/>
    </xf>
    <xf borderId="7" fillId="0" fontId="13" numFmtId="164" xfId="0" applyAlignment="1" applyBorder="1" applyFont="1" applyNumberFormat="1">
      <alignment readingOrder="0" shrinkToFit="0" vertical="bottom" wrapText="0"/>
    </xf>
    <xf borderId="0" fillId="0" fontId="13" numFmtId="0" xfId="0" applyAlignment="1" applyFont="1">
      <alignment readingOrder="0" shrinkToFit="0" vertical="bottom" wrapText="0"/>
    </xf>
    <xf borderId="0" fillId="0" fontId="26" numFmtId="0" xfId="0" applyAlignment="1" applyFont="1">
      <alignment shrinkToFit="0" vertical="bottom" wrapText="0"/>
    </xf>
    <xf borderId="0" fillId="0" fontId="26" numFmtId="164" xfId="0" applyAlignment="1" applyFont="1" applyNumberFormat="1">
      <alignment shrinkToFit="0" vertical="bottom" wrapText="0"/>
    </xf>
    <xf borderId="0" fillId="0" fontId="13" numFmtId="164" xfId="0" applyAlignment="1" applyFont="1" applyNumberFormat="1">
      <alignment readingOrder="0" shrinkToFit="0" vertical="bottom" wrapText="0"/>
    </xf>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shrinkToFit="1" wrapText="0"/>
    </xf>
    <xf borderId="0" fillId="0" fontId="9" numFmtId="0" xfId="0" applyAlignment="1" applyFont="1">
      <alignment shrinkToFit="1" wrapText="0"/>
    </xf>
    <xf borderId="0" fillId="0" fontId="31" numFmtId="0" xfId="0" applyAlignment="1" applyFont="1">
      <alignment shrinkToFit="1" wrapText="0"/>
    </xf>
    <xf borderId="8" fillId="13" fontId="32" numFmtId="166" xfId="0" applyAlignment="1" applyBorder="1" applyFill="1" applyFont="1" applyNumberFormat="1">
      <alignment shrinkToFit="1" wrapText="0"/>
    </xf>
    <xf borderId="8" fillId="13" fontId="32" numFmtId="167" xfId="0" applyAlignment="1" applyBorder="1" applyFill="1" applyFont="1" applyNumberFormat="1">
      <alignment shrinkToFit="1" wrapText="0"/>
    </xf>
    <xf borderId="8" fillId="13" fontId="32" numFmtId="1" xfId="0" applyAlignment="1" applyBorder="1" applyFill="1" applyFont="1" applyNumberFormat="1">
      <alignment shrinkToFit="1" wrapText="0"/>
    </xf>
    <xf borderId="9" fillId="4" fontId="33" numFmtId="0" xfId="0" applyAlignment="1" applyBorder="1" applyFill="1" applyFont="1">
      <alignment horizontal="center" readingOrder="0" shrinkToFit="1" vertical="center" wrapText="0"/>
    </xf>
    <xf borderId="10" fillId="4" fontId="33" numFmtId="0" xfId="0" applyAlignment="1" applyBorder="1" applyFill="1" applyFont="1">
      <alignment horizontal="center" readingOrder="0" shrinkToFit="1" vertical="center" wrapText="0"/>
    </xf>
    <xf borderId="0" fillId="0" fontId="10" numFmtId="0" xfId="0" applyAlignment="1" applyFont="1">
      <alignment horizontal="left" readingOrder="0" shrinkToFit="0" vertical="center" wrapText="0"/>
    </xf>
    <xf borderId="11" fillId="0" fontId="32" numFmtId="0" xfId="0" applyAlignment="1" applyBorder="1" applyFont="1">
      <alignment horizontal="center" shrinkToFit="1" vertical="center" wrapText="0"/>
    </xf>
    <xf borderId="10" fillId="0" fontId="32" numFmtId="0" xfId="0" applyAlignment="1" applyBorder="1" applyFont="1">
      <alignment horizontal="center" shrinkToFit="1" vertical="center" wrapText="0"/>
    </xf>
    <xf borderId="10" fillId="0" fontId="32" numFmtId="1" xfId="0" applyAlignment="1" applyBorder="1" applyFont="1" applyNumberFormat="1">
      <alignment horizontal="center" shrinkToFit="1" vertical="center" wrapText="0"/>
    </xf>
    <xf borderId="10" fillId="0" fontId="32" numFmtId="167" xfId="0" applyAlignment="1" applyBorder="1" applyFont="1" applyNumberFormat="1">
      <alignment horizontal="right" shrinkToFit="1"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s>
  <tableStyles count="2">
    <tableStyle count="4" pivot="0" name="Sheet4-style">
      <tableStyleElement dxfId="1" type="headerRow"/>
      <tableStyleElement dxfId="2" type="firstRowStripe"/>
      <tableStyleElement dxfId="3" type="secondRowStripe"/>
      <tableStyleElement dxfId="4" size="0" type="wholeTable"/>
    </tableStyle>
    <tableStyle count="4" pivot="0" name="Retirement Model-style">
      <tableStyleElement dxfId="5" type="headerRow"/>
      <tableStyleElement dxfId="6" type="firstRowStripe"/>
      <tableStyleElement dxfId="5"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K54" displayName="Table1" name="Table1" id="1">
  <tableColumns count="11">
    <tableColumn name="Year" id="1"/>
    <tableColumn name="Husband Age" id="2"/>
    <tableColumn name="Wife Age" id="3"/>
    <tableColumn name="Brokerage Cash Balance" id="4"/>
    <tableColumn name="Net Daily Living Cash" id="5"/>
    <tableColumn name="Est. Federal Income Tax" id="6"/>
    <tableColumn name="Health Insurance Cost" id="7"/>
    <tableColumn name="Total Annual Outflow" id="8"/>
    <tableColumn name="Traditional 401(k)" id="9"/>
    <tableColumn name="Roth Pool Balance" id="10"/>
    <tableColumn name="Annual Roth Conversion" id="11"/>
  </tableColumns>
  <tableStyleInfo name="Sheet4-style" showColumnStripes="0" showFirstColumn="1" showLastColumn="1" showRowStripes="1"/>
</table>
</file>

<file path=xl/tables/table2.xml><?xml version="1.0" encoding="utf-8"?>
<table xmlns="http://schemas.openxmlformats.org/spreadsheetml/2006/main" ref="A14:XFD58" displayName="Table3" name="Table3" id="2">
  <tableColumns count="16384">
    <tableColumn name="Year" id="1"/>
    <tableColumn name="Wife Age" id="2"/>
    <tableColumn name="Husband Age" id="3"/>
    <tableColumn name="Brokerage Start" id="4"/>
    <tableColumn name="401(k) Start" id="5"/>
    <tableColumn name="Roth Start" id="6"/>
    <tableColumn name="Inflated Base Cost" id="7"/>
    <tableColumn name="Healthcare Cost" id="8"/>
    <tableColumn name="Estimated Federal Taxes" id="9"/>
    <tableColumn name="Total Outflow (Target)" id="10"/>
    <tableColumn name="From Pension/SS" id="11"/>
    <tableColumn name="From Brokerage" id="12"/>
    <tableColumn name="From Roth" id="13"/>
    <tableColumn name="From 401(k)" id="14"/>
    <tableColumn name="Brokerage End" id="15"/>
    <tableColumn name="Max Roth Conversion" id="16"/>
    <tableColumn name="401(k) End" id="17"/>
    <tableColumn name="Roth End" id="18"/>
    <tableColumn name="Estimated Dividends" id="19"/>
    <tableColumn name="Column1" id="20"/>
    <tableColumn name="Column2" id="21"/>
    <tableColumn name="Column3" id="22"/>
    <tableColumn name="Column4" id="23"/>
    <tableColumn name="Column5" id="24"/>
    <tableColumn name="Column6" id="25"/>
    <tableColumn name="Column7" id="26"/>
    <tableColumn name="Column8" id="27"/>
    <tableColumn name="Column9" id="28"/>
    <tableColumn name="Column10" id="29"/>
    <tableColumn name="Column11" id="30"/>
    <tableColumn name="Column12" id="31"/>
    <tableColumn name="Column13" id="32"/>
    <tableColumn name="Column14" id="33"/>
    <tableColumn name="Column15" id="34"/>
    <tableColumn name="Column16" id="35"/>
    <tableColumn name="Column17" id="36"/>
    <tableColumn name="Column18" id="37"/>
    <tableColumn name="Column19" id="38"/>
    <tableColumn name="Column20" id="39"/>
    <tableColumn name="Column21" id="40"/>
    <tableColumn name="Column22" id="41"/>
    <tableColumn name="Column23" id="42"/>
    <tableColumn name="Column24" id="43"/>
    <tableColumn name="Column25" id="44"/>
    <tableColumn name="Column26" id="45"/>
    <tableColumn name="Column27" id="46"/>
    <tableColumn name="Column28" id="47"/>
    <tableColumn name="Column29" id="48"/>
    <tableColumn name="Column30" id="49"/>
    <tableColumn name="Column31" id="50"/>
    <tableColumn name="Column32" id="51"/>
    <tableColumn name="Column33" id="52"/>
    <tableColumn name="Column34" id="53"/>
    <tableColumn name="Column35" id="54"/>
    <tableColumn name="Column36" id="55"/>
    <tableColumn name="Column37" id="56"/>
    <tableColumn name="Column38" id="57"/>
    <tableColumn name="Column39" id="58"/>
    <tableColumn name="Column40" id="59"/>
    <tableColumn name="Column41" id="60"/>
    <tableColumn name="Column42" id="61"/>
    <tableColumn name="Column43" id="62"/>
    <tableColumn name="Column44" id="63"/>
    <tableColumn name="Column45" id="64"/>
    <tableColumn name="Column46" id="65"/>
    <tableColumn name="Column47" id="66"/>
    <tableColumn name="Column48" id="67"/>
    <tableColumn name="Column49" id="68"/>
    <tableColumn name="Column50" id="69"/>
    <tableColumn name="Column51" id="70"/>
    <tableColumn name="Column52" id="71"/>
    <tableColumn name="Column53" id="72"/>
    <tableColumn name="Column54" id="73"/>
    <tableColumn name="Column55" id="74"/>
    <tableColumn name="Column56" id="75"/>
    <tableColumn name="Column57" id="76"/>
    <tableColumn name="Column58" id="77"/>
    <tableColumn name="Column59" id="78"/>
    <tableColumn name="Column60" id="79"/>
    <tableColumn name="Column61" id="80"/>
    <tableColumn name="Column62" id="81"/>
    <tableColumn name="Column63" id="82"/>
    <tableColumn name="Column64" id="83"/>
    <tableColumn name="Column65" id="84"/>
    <tableColumn name="Column66" id="85"/>
    <tableColumn name="Column67" id="86"/>
    <tableColumn name="Column68" id="87"/>
    <tableColumn name="Column69" id="88"/>
    <tableColumn name="Column70" id="89"/>
    <tableColumn name="Column71" id="90"/>
    <tableColumn name="Column72" id="91"/>
    <tableColumn name="Column73" id="92"/>
    <tableColumn name="Column74" id="93"/>
    <tableColumn name="Column75" id="94"/>
    <tableColumn name="Column76" id="95"/>
    <tableColumn name="Column77" id="96"/>
    <tableColumn name="Column78" id="97"/>
    <tableColumn name="Column79" id="98"/>
    <tableColumn name="Column80" id="99"/>
    <tableColumn name="Column81" id="100"/>
    <tableColumn name="Column82" id="101"/>
    <tableColumn name="Column83" id="102"/>
    <tableColumn name="Column84" id="103"/>
    <tableColumn name="Column85" id="104"/>
    <tableColumn name="Column86" id="105"/>
    <tableColumn name="Column87" id="106"/>
    <tableColumn name="Column88" id="107"/>
    <tableColumn name="Column89" id="108"/>
    <tableColumn name="Column90" id="109"/>
    <tableColumn name="Column91" id="110"/>
    <tableColumn name="Column92" id="111"/>
    <tableColumn name="Column93" id="112"/>
    <tableColumn name="Column94" id="113"/>
    <tableColumn name="Column95" id="114"/>
    <tableColumn name="Column96" id="115"/>
    <tableColumn name="Column97" id="116"/>
    <tableColumn name="Column98" id="117"/>
    <tableColumn name="Column99" id="118"/>
    <tableColumn name="Column100" id="119"/>
    <tableColumn name="Column101" id="120"/>
    <tableColumn name="Column102" id="121"/>
    <tableColumn name="Column103" id="122"/>
    <tableColumn name="Column104" id="123"/>
    <tableColumn name="Column105" id="124"/>
    <tableColumn name="Column106" id="125"/>
    <tableColumn name="Column107" id="126"/>
    <tableColumn name="Column108" id="127"/>
    <tableColumn name="Column109" id="128"/>
    <tableColumn name="Column110" id="129"/>
    <tableColumn name="Column111" id="130"/>
    <tableColumn name="Column112" id="131"/>
    <tableColumn name="Column113" id="132"/>
    <tableColumn name="Column114" id="133"/>
    <tableColumn name="Column115" id="134"/>
    <tableColumn name="Column116" id="135"/>
    <tableColumn name="Column117" id="136"/>
    <tableColumn name="Column118" id="137"/>
    <tableColumn name="Column119" id="138"/>
    <tableColumn name="Column120" id="139"/>
    <tableColumn name="Column121" id="140"/>
    <tableColumn name="Column122" id="141"/>
    <tableColumn name="Column123" id="142"/>
    <tableColumn name="Column124" id="143"/>
    <tableColumn name="Column125" id="144"/>
    <tableColumn name="Column126" id="145"/>
    <tableColumn name="Column127" id="146"/>
    <tableColumn name="Column128" id="147"/>
    <tableColumn name="Column129" id="148"/>
    <tableColumn name="Column130" id="149"/>
    <tableColumn name="Column131" id="150"/>
    <tableColumn name="Column132" id="151"/>
    <tableColumn name="Column133" id="152"/>
    <tableColumn name="Column134" id="153"/>
    <tableColumn name="Column135" id="154"/>
    <tableColumn name="Column136" id="155"/>
    <tableColumn name="Column137" id="156"/>
    <tableColumn name="Column138" id="157"/>
    <tableColumn name="Column139" id="158"/>
    <tableColumn name="Column140" id="159"/>
    <tableColumn name="Column141" id="160"/>
    <tableColumn name="Column142" id="161"/>
    <tableColumn name="Column143" id="162"/>
    <tableColumn name="Column144" id="163"/>
    <tableColumn name="Column145" id="164"/>
    <tableColumn name="Column146" id="165"/>
    <tableColumn name="Column147" id="166"/>
    <tableColumn name="Column148" id="167"/>
    <tableColumn name="Column149" id="168"/>
    <tableColumn name="Column150" id="169"/>
    <tableColumn name="Column151" id="170"/>
    <tableColumn name="Column152" id="171"/>
    <tableColumn name="Column153" id="172"/>
    <tableColumn name="Column154" id="173"/>
    <tableColumn name="Column155" id="174"/>
    <tableColumn name="Column156" id="175"/>
    <tableColumn name="Column157" id="176"/>
    <tableColumn name="Column158" id="177"/>
    <tableColumn name="Column159" id="178"/>
    <tableColumn name="Column160" id="179"/>
    <tableColumn name="Column161" id="180"/>
    <tableColumn name="Column162" id="181"/>
    <tableColumn name="Column163" id="182"/>
    <tableColumn name="Column164" id="183"/>
    <tableColumn name="Column165" id="184"/>
    <tableColumn name="Column166" id="185"/>
    <tableColumn name="Column167" id="186"/>
    <tableColumn name="Column168" id="187"/>
    <tableColumn name="Column169" id="188"/>
    <tableColumn name="Column170" id="189"/>
    <tableColumn name="Column171" id="190"/>
    <tableColumn name="Column172" id="191"/>
    <tableColumn name="Column173" id="192"/>
    <tableColumn name="Column174" id="193"/>
    <tableColumn name="Column175" id="194"/>
    <tableColumn name="Column176" id="195"/>
    <tableColumn name="Column177" id="196"/>
    <tableColumn name="Column178" id="197"/>
    <tableColumn name="Column179" id="198"/>
    <tableColumn name="Column180" id="199"/>
    <tableColumn name="Column181" id="200"/>
    <tableColumn name="Column182" id="201"/>
    <tableColumn name="Column183" id="202"/>
    <tableColumn name="Column184" id="203"/>
    <tableColumn name="Column185" id="204"/>
    <tableColumn name="Column186" id="205"/>
    <tableColumn name="Column187" id="206"/>
    <tableColumn name="Column188" id="207"/>
    <tableColumn name="Column189" id="208"/>
    <tableColumn name="Column190" id="209"/>
    <tableColumn name="Column191" id="210"/>
    <tableColumn name="Column192" id="211"/>
    <tableColumn name="Column193" id="212"/>
    <tableColumn name="Column194" id="213"/>
    <tableColumn name="Column195" id="214"/>
    <tableColumn name="Column196" id="215"/>
    <tableColumn name="Column197" id="216"/>
    <tableColumn name="Column198" id="217"/>
    <tableColumn name="Column199" id="218"/>
    <tableColumn name="Column200" id="219"/>
    <tableColumn name="Column201" id="220"/>
    <tableColumn name="Column202" id="221"/>
    <tableColumn name="Column203" id="222"/>
    <tableColumn name="Column204" id="223"/>
    <tableColumn name="Column205" id="224"/>
    <tableColumn name="Column206" id="225"/>
    <tableColumn name="Column207" id="226"/>
    <tableColumn name="Column208" id="227"/>
    <tableColumn name="Column209" id="228"/>
    <tableColumn name="Column210" id="229"/>
    <tableColumn name="Column211" id="230"/>
    <tableColumn name="Column212" id="231"/>
    <tableColumn name="Column213" id="232"/>
    <tableColumn name="Column214" id="233"/>
    <tableColumn name="Column215" id="234"/>
    <tableColumn name="Column216" id="235"/>
    <tableColumn name="Column217" id="236"/>
    <tableColumn name="Column218" id="237"/>
    <tableColumn name="Column219" id="238"/>
    <tableColumn name="Column220" id="239"/>
    <tableColumn name="Column221" id="240"/>
    <tableColumn name="Column222" id="241"/>
    <tableColumn name="Column223" id="242"/>
    <tableColumn name="Column224" id="243"/>
    <tableColumn name="Column225" id="244"/>
    <tableColumn name="Column226" id="245"/>
    <tableColumn name="Column227" id="246"/>
    <tableColumn name="Column228" id="247"/>
    <tableColumn name="Column229" id="248"/>
    <tableColumn name="Column230" id="249"/>
    <tableColumn name="Column231" id="250"/>
    <tableColumn name="Column232" id="251"/>
    <tableColumn name="Column233" id="252"/>
    <tableColumn name="Column234" id="253"/>
    <tableColumn name="Column235" id="254"/>
    <tableColumn name="Column236" id="255"/>
    <tableColumn name="Column237" id="256"/>
    <tableColumn name="Column238" id="257"/>
    <tableColumn name="Column239" id="258"/>
    <tableColumn name="Column240" id="259"/>
    <tableColumn name="Column241" id="260"/>
    <tableColumn name="Column242" id="261"/>
    <tableColumn name="Column243" id="262"/>
    <tableColumn name="Column244" id="263"/>
    <tableColumn name="Column245" id="264"/>
    <tableColumn name="Column246" id="265"/>
    <tableColumn name="Column247" id="266"/>
    <tableColumn name="Column248" id="267"/>
    <tableColumn name="Column249" id="268"/>
    <tableColumn name="Column250" id="269"/>
    <tableColumn name="Column251" id="270"/>
    <tableColumn name="Column252" id="271"/>
    <tableColumn name="Column253" id="272"/>
    <tableColumn name="Column254" id="273"/>
    <tableColumn name="Column255" id="274"/>
    <tableColumn name="Column256" id="275"/>
    <tableColumn name="Column257" id="276"/>
    <tableColumn name="Column258" id="277"/>
    <tableColumn name="Column259" id="278"/>
    <tableColumn name="Column260" id="279"/>
    <tableColumn name="Column261" id="280"/>
    <tableColumn name="Column262" id="281"/>
    <tableColumn name="Column263" id="282"/>
    <tableColumn name="Column264" id="283"/>
    <tableColumn name="Column265" id="284"/>
    <tableColumn name="Column266" id="285"/>
    <tableColumn name="Column267" id="286"/>
    <tableColumn name="Column268" id="287"/>
    <tableColumn name="Column269" id="288"/>
    <tableColumn name="Column270" id="289"/>
    <tableColumn name="Column271" id="290"/>
    <tableColumn name="Column272" id="291"/>
    <tableColumn name="Column273" id="292"/>
    <tableColumn name="Column274" id="293"/>
    <tableColumn name="Column275" id="294"/>
    <tableColumn name="Column276" id="295"/>
    <tableColumn name="Column277" id="296"/>
    <tableColumn name="Column278" id="297"/>
    <tableColumn name="Column279" id="298"/>
    <tableColumn name="Column280" id="299"/>
    <tableColumn name="Column281" id="300"/>
    <tableColumn name="Column282" id="301"/>
    <tableColumn name="Column283" id="302"/>
    <tableColumn name="Column284" id="303"/>
    <tableColumn name="Column285" id="304"/>
    <tableColumn name="Column286" id="305"/>
    <tableColumn name="Column287" id="306"/>
    <tableColumn name="Column288" id="307"/>
    <tableColumn name="Column289" id="308"/>
    <tableColumn name="Column290" id="309"/>
    <tableColumn name="Column291" id="310"/>
    <tableColumn name="Column292" id="311"/>
    <tableColumn name="Column293" id="312"/>
    <tableColumn name="Column294" id="313"/>
    <tableColumn name="Column295" id="314"/>
    <tableColumn name="Column296" id="315"/>
    <tableColumn name="Column297" id="316"/>
    <tableColumn name="Column298" id="317"/>
    <tableColumn name="Column299" id="318"/>
    <tableColumn name="Column300" id="319"/>
    <tableColumn name="Column301" id="320"/>
    <tableColumn name="Column302" id="321"/>
    <tableColumn name="Column303" id="322"/>
    <tableColumn name="Column304" id="323"/>
    <tableColumn name="Column305" id="324"/>
    <tableColumn name="Column306" id="325"/>
    <tableColumn name="Column307" id="326"/>
    <tableColumn name="Column308" id="327"/>
    <tableColumn name="Column309" id="328"/>
    <tableColumn name="Column310" id="329"/>
    <tableColumn name="Column311" id="330"/>
    <tableColumn name="Column312" id="331"/>
    <tableColumn name="Column313" id="332"/>
    <tableColumn name="Column314" id="333"/>
    <tableColumn name="Column315" id="334"/>
    <tableColumn name="Column316" id="335"/>
    <tableColumn name="Column317" id="336"/>
    <tableColumn name="Column318" id="337"/>
    <tableColumn name="Column319" id="338"/>
    <tableColumn name="Column320" id="339"/>
    <tableColumn name="Column321" id="340"/>
    <tableColumn name="Column322" id="341"/>
    <tableColumn name="Column323" id="342"/>
    <tableColumn name="Column324" id="343"/>
    <tableColumn name="Column325" id="344"/>
    <tableColumn name="Column326" id="345"/>
    <tableColumn name="Column327" id="346"/>
    <tableColumn name="Column328" id="347"/>
    <tableColumn name="Column329" id="348"/>
    <tableColumn name="Column330" id="349"/>
    <tableColumn name="Column331" id="350"/>
    <tableColumn name="Column332" id="351"/>
    <tableColumn name="Column333" id="352"/>
    <tableColumn name="Column334" id="353"/>
    <tableColumn name="Column335" id="354"/>
    <tableColumn name="Column336" id="355"/>
    <tableColumn name="Column337" id="356"/>
    <tableColumn name="Column338" id="357"/>
    <tableColumn name="Column339" id="358"/>
    <tableColumn name="Column340" id="359"/>
    <tableColumn name="Column341" id="360"/>
    <tableColumn name="Column342" id="361"/>
    <tableColumn name="Column343" id="362"/>
    <tableColumn name="Column344" id="363"/>
    <tableColumn name="Column345" id="364"/>
    <tableColumn name="Column346" id="365"/>
    <tableColumn name="Column347" id="366"/>
    <tableColumn name="Column348" id="367"/>
    <tableColumn name="Column349" id="368"/>
    <tableColumn name="Column350" id="369"/>
    <tableColumn name="Column351" id="370"/>
    <tableColumn name="Column352" id="371"/>
    <tableColumn name="Column353" id="372"/>
    <tableColumn name="Column354" id="373"/>
    <tableColumn name="Column355" id="374"/>
    <tableColumn name="Column356" id="375"/>
    <tableColumn name="Column357" id="376"/>
    <tableColumn name="Column358" id="377"/>
    <tableColumn name="Column359" id="378"/>
    <tableColumn name="Column360" id="379"/>
    <tableColumn name="Column361" id="380"/>
    <tableColumn name="Column362" id="381"/>
    <tableColumn name="Column363" id="382"/>
    <tableColumn name="Column364" id="383"/>
    <tableColumn name="Column365" id="384"/>
    <tableColumn name="Column366" id="385"/>
    <tableColumn name="Column367" id="386"/>
    <tableColumn name="Column368" id="387"/>
    <tableColumn name="Column369" id="388"/>
    <tableColumn name="Column370" id="389"/>
    <tableColumn name="Column371" id="390"/>
    <tableColumn name="Column372" id="391"/>
    <tableColumn name="Column373" id="392"/>
    <tableColumn name="Column374" id="393"/>
    <tableColumn name="Column375" id="394"/>
    <tableColumn name="Column376" id="395"/>
    <tableColumn name="Column377" id="396"/>
    <tableColumn name="Column378" id="397"/>
    <tableColumn name="Column379" id="398"/>
    <tableColumn name="Column380" id="399"/>
    <tableColumn name="Column381" id="400"/>
    <tableColumn name="Column382" id="401"/>
    <tableColumn name="Column383" id="402"/>
    <tableColumn name="Column384" id="403"/>
    <tableColumn name="Column385" id="404"/>
    <tableColumn name="Column386" id="405"/>
    <tableColumn name="Column387" id="406"/>
    <tableColumn name="Column388" id="407"/>
    <tableColumn name="Column389" id="408"/>
    <tableColumn name="Column390" id="409"/>
    <tableColumn name="Column391" id="410"/>
    <tableColumn name="Column392" id="411"/>
    <tableColumn name="Column393" id="412"/>
    <tableColumn name="Column394" id="413"/>
    <tableColumn name="Column395" id="414"/>
    <tableColumn name="Column396" id="415"/>
    <tableColumn name="Column397" id="416"/>
    <tableColumn name="Column398" id="417"/>
    <tableColumn name="Column399" id="418"/>
    <tableColumn name="Column400" id="419"/>
    <tableColumn name="Column401" id="420"/>
    <tableColumn name="Column402" id="421"/>
    <tableColumn name="Column403" id="422"/>
    <tableColumn name="Column404" id="423"/>
    <tableColumn name="Column405" id="424"/>
    <tableColumn name="Column406" id="425"/>
    <tableColumn name="Column407" id="426"/>
    <tableColumn name="Column408" id="427"/>
    <tableColumn name="Column409" id="428"/>
    <tableColumn name="Column410" id="429"/>
    <tableColumn name="Column411" id="430"/>
    <tableColumn name="Column412" id="431"/>
    <tableColumn name="Column413" id="432"/>
    <tableColumn name="Column414" id="433"/>
    <tableColumn name="Column415" id="434"/>
    <tableColumn name="Column416" id="435"/>
    <tableColumn name="Column417" id="436"/>
    <tableColumn name="Column418" id="437"/>
    <tableColumn name="Column419" id="438"/>
    <tableColumn name="Column420" id="439"/>
    <tableColumn name="Column421" id="440"/>
    <tableColumn name="Column422" id="441"/>
    <tableColumn name="Column423" id="442"/>
    <tableColumn name="Column424" id="443"/>
    <tableColumn name="Column425" id="444"/>
    <tableColumn name="Column426" id="445"/>
    <tableColumn name="Column427" id="446"/>
    <tableColumn name="Column428" id="447"/>
    <tableColumn name="Column429" id="448"/>
    <tableColumn name="Column430" id="449"/>
    <tableColumn name="Column431" id="450"/>
    <tableColumn name="Column432" id="451"/>
    <tableColumn name="Column433" id="452"/>
    <tableColumn name="Column434" id="453"/>
    <tableColumn name="Column435" id="454"/>
    <tableColumn name="Column436" id="455"/>
    <tableColumn name="Column437" id="456"/>
    <tableColumn name="Column438" id="457"/>
    <tableColumn name="Column439" id="458"/>
    <tableColumn name="Column440" id="459"/>
    <tableColumn name="Column441" id="460"/>
    <tableColumn name="Column442" id="461"/>
    <tableColumn name="Column443" id="462"/>
    <tableColumn name="Column444" id="463"/>
    <tableColumn name="Column445" id="464"/>
    <tableColumn name="Column446" id="465"/>
    <tableColumn name="Column447" id="466"/>
    <tableColumn name="Column448" id="467"/>
    <tableColumn name="Column449" id="468"/>
    <tableColumn name="Column450" id="469"/>
    <tableColumn name="Column451" id="470"/>
    <tableColumn name="Column452" id="471"/>
    <tableColumn name="Column453" id="472"/>
    <tableColumn name="Column454" id="473"/>
    <tableColumn name="Column455" id="474"/>
    <tableColumn name="Column456" id="475"/>
    <tableColumn name="Column457" id="476"/>
    <tableColumn name="Column458" id="477"/>
    <tableColumn name="Column459" id="478"/>
    <tableColumn name="Column460" id="479"/>
    <tableColumn name="Column461" id="480"/>
    <tableColumn name="Column462" id="481"/>
    <tableColumn name="Column463" id="482"/>
    <tableColumn name="Column464" id="483"/>
    <tableColumn name="Column465" id="484"/>
    <tableColumn name="Column466" id="485"/>
    <tableColumn name="Column467" id="486"/>
    <tableColumn name="Column468" id="487"/>
    <tableColumn name="Column469" id="488"/>
    <tableColumn name="Column470" id="489"/>
    <tableColumn name="Column471" id="490"/>
    <tableColumn name="Column472" id="491"/>
    <tableColumn name="Column473" id="492"/>
    <tableColumn name="Column474" id="493"/>
    <tableColumn name="Column475" id="494"/>
    <tableColumn name="Column476" id="495"/>
    <tableColumn name="Column477" id="496"/>
    <tableColumn name="Column478" id="497"/>
    <tableColumn name="Column479" id="498"/>
    <tableColumn name="Column480" id="499"/>
    <tableColumn name="Column481" id="500"/>
    <tableColumn name="Column482" id="501"/>
    <tableColumn name="Column483" id="502"/>
    <tableColumn name="Column484" id="503"/>
    <tableColumn name="Column485" id="504"/>
    <tableColumn name="Column486" id="505"/>
    <tableColumn name="Column487" id="506"/>
    <tableColumn name="Column488" id="507"/>
    <tableColumn name="Column489" id="508"/>
    <tableColumn name="Column490" id="509"/>
    <tableColumn name="Column491" id="510"/>
    <tableColumn name="Column492" id="511"/>
    <tableColumn name="Column493" id="512"/>
    <tableColumn name="Column494" id="513"/>
    <tableColumn name="Column495" id="514"/>
    <tableColumn name="Column496" id="515"/>
    <tableColumn name="Column497" id="516"/>
    <tableColumn name="Column498" id="517"/>
    <tableColumn name="Column499" id="518"/>
    <tableColumn name="Column500" id="519"/>
    <tableColumn name="Column501" id="520"/>
    <tableColumn name="Column502" id="521"/>
    <tableColumn name="Column503" id="522"/>
    <tableColumn name="Column504" id="523"/>
    <tableColumn name="Column505" id="524"/>
    <tableColumn name="Column506" id="525"/>
    <tableColumn name="Column507" id="526"/>
    <tableColumn name="Column508" id="527"/>
    <tableColumn name="Column509" id="528"/>
    <tableColumn name="Column510" id="529"/>
    <tableColumn name="Column511" id="530"/>
    <tableColumn name="Column512" id="531"/>
    <tableColumn name="Column513" id="532"/>
    <tableColumn name="Column514" id="533"/>
    <tableColumn name="Column515" id="534"/>
    <tableColumn name="Column516" id="535"/>
    <tableColumn name="Column517" id="536"/>
    <tableColumn name="Column518" id="537"/>
    <tableColumn name="Column519" id="538"/>
    <tableColumn name="Column520" id="539"/>
    <tableColumn name="Column521" id="540"/>
    <tableColumn name="Column522" id="541"/>
    <tableColumn name="Column523" id="542"/>
    <tableColumn name="Column524" id="543"/>
    <tableColumn name="Column525" id="544"/>
    <tableColumn name="Column526" id="545"/>
    <tableColumn name="Column527" id="546"/>
    <tableColumn name="Column528" id="547"/>
    <tableColumn name="Column529" id="548"/>
    <tableColumn name="Column530" id="549"/>
    <tableColumn name="Column531" id="550"/>
    <tableColumn name="Column532" id="551"/>
    <tableColumn name="Column533" id="552"/>
    <tableColumn name="Column534" id="553"/>
    <tableColumn name="Column535" id="554"/>
    <tableColumn name="Column536" id="555"/>
    <tableColumn name="Column537" id="556"/>
    <tableColumn name="Column538" id="557"/>
    <tableColumn name="Column539" id="558"/>
    <tableColumn name="Column540" id="559"/>
    <tableColumn name="Column541" id="560"/>
    <tableColumn name="Column542" id="561"/>
    <tableColumn name="Column543" id="562"/>
    <tableColumn name="Column544" id="563"/>
    <tableColumn name="Column545" id="564"/>
    <tableColumn name="Column546" id="565"/>
    <tableColumn name="Column547" id="566"/>
    <tableColumn name="Column548" id="567"/>
    <tableColumn name="Column549" id="568"/>
    <tableColumn name="Column550" id="569"/>
    <tableColumn name="Column551" id="570"/>
    <tableColumn name="Column552" id="571"/>
    <tableColumn name="Column553" id="572"/>
    <tableColumn name="Column554" id="573"/>
    <tableColumn name="Column555" id="574"/>
    <tableColumn name="Column556" id="575"/>
    <tableColumn name="Column557" id="576"/>
    <tableColumn name="Column558" id="577"/>
    <tableColumn name="Column559" id="578"/>
    <tableColumn name="Column560" id="579"/>
    <tableColumn name="Column561" id="580"/>
    <tableColumn name="Column562" id="581"/>
    <tableColumn name="Column563" id="582"/>
    <tableColumn name="Column564" id="583"/>
    <tableColumn name="Column565" id="584"/>
    <tableColumn name="Column566" id="585"/>
    <tableColumn name="Column567" id="586"/>
    <tableColumn name="Column568" id="587"/>
    <tableColumn name="Column569" id="588"/>
    <tableColumn name="Column570" id="589"/>
    <tableColumn name="Column571" id="590"/>
    <tableColumn name="Column572" id="591"/>
    <tableColumn name="Column573" id="592"/>
    <tableColumn name="Column574" id="593"/>
    <tableColumn name="Column575" id="594"/>
    <tableColumn name="Column576" id="595"/>
    <tableColumn name="Column577" id="596"/>
    <tableColumn name="Column578" id="597"/>
    <tableColumn name="Column579" id="598"/>
    <tableColumn name="Column580" id="599"/>
    <tableColumn name="Column581" id="600"/>
    <tableColumn name="Column582" id="601"/>
    <tableColumn name="Column583" id="602"/>
    <tableColumn name="Column584" id="603"/>
    <tableColumn name="Column585" id="604"/>
    <tableColumn name="Column586" id="605"/>
    <tableColumn name="Column587" id="606"/>
    <tableColumn name="Column588" id="607"/>
    <tableColumn name="Column589" id="608"/>
    <tableColumn name="Column590" id="609"/>
    <tableColumn name="Column591" id="610"/>
    <tableColumn name="Column592" id="611"/>
    <tableColumn name="Column593" id="612"/>
    <tableColumn name="Column594" id="613"/>
    <tableColumn name="Column595" id="614"/>
    <tableColumn name="Column596" id="615"/>
    <tableColumn name="Column597" id="616"/>
    <tableColumn name="Column598" id="617"/>
    <tableColumn name="Column599" id="618"/>
    <tableColumn name="Column600" id="619"/>
    <tableColumn name="Column601" id="620"/>
    <tableColumn name="Column602" id="621"/>
    <tableColumn name="Column603" id="622"/>
    <tableColumn name="Column604" id="623"/>
    <tableColumn name="Column605" id="624"/>
    <tableColumn name="Column606" id="625"/>
    <tableColumn name="Column607" id="626"/>
    <tableColumn name="Column608" id="627"/>
    <tableColumn name="Column609" id="628"/>
    <tableColumn name="Column610" id="629"/>
    <tableColumn name="Column611" id="630"/>
    <tableColumn name="Column612" id="631"/>
    <tableColumn name="Column613" id="632"/>
    <tableColumn name="Column614" id="633"/>
    <tableColumn name="Column615" id="634"/>
    <tableColumn name="Column616" id="635"/>
    <tableColumn name="Column617" id="636"/>
    <tableColumn name="Column618" id="637"/>
    <tableColumn name="Column619" id="638"/>
    <tableColumn name="Column620" id="639"/>
    <tableColumn name="Column621" id="640"/>
    <tableColumn name="Column622" id="641"/>
    <tableColumn name="Column623" id="642"/>
    <tableColumn name="Column624" id="643"/>
    <tableColumn name="Column625" id="644"/>
    <tableColumn name="Column626" id="645"/>
    <tableColumn name="Column627" id="646"/>
    <tableColumn name="Column628" id="647"/>
    <tableColumn name="Column629" id="648"/>
    <tableColumn name="Column630" id="649"/>
    <tableColumn name="Column631" id="650"/>
    <tableColumn name="Column632" id="651"/>
    <tableColumn name="Column633" id="652"/>
    <tableColumn name="Column634" id="653"/>
    <tableColumn name="Column635" id="654"/>
    <tableColumn name="Column636" id="655"/>
    <tableColumn name="Column637" id="656"/>
    <tableColumn name="Column638" id="657"/>
    <tableColumn name="Column639" id="658"/>
    <tableColumn name="Column640" id="659"/>
    <tableColumn name="Column641" id="660"/>
    <tableColumn name="Column642" id="661"/>
    <tableColumn name="Column643" id="662"/>
    <tableColumn name="Column644" id="663"/>
    <tableColumn name="Column645" id="664"/>
    <tableColumn name="Column646" id="665"/>
    <tableColumn name="Column647" id="666"/>
    <tableColumn name="Column648" id="667"/>
    <tableColumn name="Column649" id="668"/>
    <tableColumn name="Column650" id="669"/>
    <tableColumn name="Column651" id="670"/>
    <tableColumn name="Column652" id="671"/>
    <tableColumn name="Column653" id="672"/>
    <tableColumn name="Column654" id="673"/>
    <tableColumn name="Column655" id="674"/>
    <tableColumn name="Column656" id="675"/>
    <tableColumn name="Column657" id="676"/>
    <tableColumn name="Column658" id="677"/>
    <tableColumn name="Column659" id="678"/>
    <tableColumn name="Column660" id="679"/>
    <tableColumn name="Column661" id="680"/>
    <tableColumn name="Column662" id="681"/>
    <tableColumn name="Column663" id="682"/>
    <tableColumn name="Column664" id="683"/>
    <tableColumn name="Column665" id="684"/>
    <tableColumn name="Column666" id="685"/>
    <tableColumn name="Column667" id="686"/>
    <tableColumn name="Column668" id="687"/>
    <tableColumn name="Column669" id="688"/>
    <tableColumn name="Column670" id="689"/>
    <tableColumn name="Column671" id="690"/>
    <tableColumn name="Column672" id="691"/>
    <tableColumn name="Column673" id="692"/>
    <tableColumn name="Column674" id="693"/>
    <tableColumn name="Column675" id="694"/>
    <tableColumn name="Column676" id="695"/>
    <tableColumn name="Column677" id="696"/>
    <tableColumn name="Column678" id="697"/>
    <tableColumn name="Column679" id="698"/>
    <tableColumn name="Column680" id="699"/>
    <tableColumn name="Column681" id="700"/>
    <tableColumn name="Column682" id="701"/>
    <tableColumn name="Column683" id="702"/>
    <tableColumn name="Column684" id="703"/>
    <tableColumn name="Column685" id="704"/>
    <tableColumn name="Column686" id="705"/>
    <tableColumn name="Column687" id="706"/>
    <tableColumn name="Column688" id="707"/>
    <tableColumn name="Column689" id="708"/>
    <tableColumn name="Column690" id="709"/>
    <tableColumn name="Column691" id="710"/>
    <tableColumn name="Column692" id="711"/>
    <tableColumn name="Column693" id="712"/>
    <tableColumn name="Column694" id="713"/>
    <tableColumn name="Column695" id="714"/>
    <tableColumn name="Column696" id="715"/>
    <tableColumn name="Column697" id="716"/>
    <tableColumn name="Column698" id="717"/>
    <tableColumn name="Column699" id="718"/>
    <tableColumn name="Column700" id="719"/>
    <tableColumn name="Column701" id="720"/>
    <tableColumn name="Column702" id="721"/>
    <tableColumn name="Column703" id="722"/>
    <tableColumn name="Column704" id="723"/>
    <tableColumn name="Column705" id="724"/>
    <tableColumn name="Column706" id="725"/>
    <tableColumn name="Column707" id="726"/>
    <tableColumn name="Column708" id="727"/>
    <tableColumn name="Column709" id="728"/>
    <tableColumn name="Column710" id="729"/>
    <tableColumn name="Column711" id="730"/>
    <tableColumn name="Column712" id="731"/>
    <tableColumn name="Column713" id="732"/>
    <tableColumn name="Column714" id="733"/>
    <tableColumn name="Column715" id="734"/>
    <tableColumn name="Column716" id="735"/>
    <tableColumn name="Column717" id="736"/>
    <tableColumn name="Column718" id="737"/>
    <tableColumn name="Column719" id="738"/>
    <tableColumn name="Column720" id="739"/>
    <tableColumn name="Column721" id="740"/>
    <tableColumn name="Column722" id="741"/>
    <tableColumn name="Column723" id="742"/>
    <tableColumn name="Column724" id="743"/>
    <tableColumn name="Column725" id="744"/>
    <tableColumn name="Column726" id="745"/>
    <tableColumn name="Column727" id="746"/>
    <tableColumn name="Column728" id="747"/>
    <tableColumn name="Column729" id="748"/>
    <tableColumn name="Column730" id="749"/>
    <tableColumn name="Column731" id="750"/>
    <tableColumn name="Column732" id="751"/>
    <tableColumn name="Column733" id="752"/>
    <tableColumn name="Column734" id="753"/>
    <tableColumn name="Column735" id="754"/>
    <tableColumn name="Column736" id="755"/>
    <tableColumn name="Column737" id="756"/>
    <tableColumn name="Column738" id="757"/>
    <tableColumn name="Column739" id="758"/>
    <tableColumn name="Column740" id="759"/>
    <tableColumn name="Column741" id="760"/>
    <tableColumn name="Column742" id="761"/>
    <tableColumn name="Column743" id="762"/>
    <tableColumn name="Column744" id="763"/>
    <tableColumn name="Column745" id="764"/>
    <tableColumn name="Column746" id="765"/>
    <tableColumn name="Column747" id="766"/>
    <tableColumn name="Column748" id="767"/>
    <tableColumn name="Column749" id="768"/>
    <tableColumn name="Column750" id="769"/>
    <tableColumn name="Column751" id="770"/>
    <tableColumn name="Column752" id="771"/>
    <tableColumn name="Column753" id="772"/>
    <tableColumn name="Column754" id="773"/>
    <tableColumn name="Column755" id="774"/>
    <tableColumn name="Column756" id="775"/>
    <tableColumn name="Column757" id="776"/>
    <tableColumn name="Column758" id="777"/>
    <tableColumn name="Column759" id="778"/>
    <tableColumn name="Column760" id="779"/>
    <tableColumn name="Column761" id="780"/>
    <tableColumn name="Column762" id="781"/>
    <tableColumn name="Column763" id="782"/>
    <tableColumn name="Column764" id="783"/>
    <tableColumn name="Column765" id="784"/>
    <tableColumn name="Column766" id="785"/>
    <tableColumn name="Column767" id="786"/>
    <tableColumn name="Column768" id="787"/>
    <tableColumn name="Column769" id="788"/>
    <tableColumn name="Column770" id="789"/>
    <tableColumn name="Column771" id="790"/>
    <tableColumn name="Column772" id="791"/>
    <tableColumn name="Column773" id="792"/>
    <tableColumn name="Column774" id="793"/>
    <tableColumn name="Column775" id="794"/>
    <tableColumn name="Column776" id="795"/>
    <tableColumn name="Column777" id="796"/>
    <tableColumn name="Column778" id="797"/>
    <tableColumn name="Column779" id="798"/>
    <tableColumn name="Column780" id="799"/>
    <tableColumn name="Column781" id="800"/>
    <tableColumn name="Column782" id="801"/>
    <tableColumn name="Column783" id="802"/>
    <tableColumn name="Column784" id="803"/>
    <tableColumn name="Column785" id="804"/>
    <tableColumn name="Column786" id="805"/>
    <tableColumn name="Column787" id="806"/>
    <tableColumn name="Column788" id="807"/>
    <tableColumn name="Column789" id="808"/>
    <tableColumn name="Column790" id="809"/>
    <tableColumn name="Column791" id="810"/>
    <tableColumn name="Column792" id="811"/>
    <tableColumn name="Column793" id="812"/>
    <tableColumn name="Column794" id="813"/>
    <tableColumn name="Column795" id="814"/>
    <tableColumn name="Column796" id="815"/>
    <tableColumn name="Column797" id="816"/>
    <tableColumn name="Column798" id="817"/>
    <tableColumn name="Column799" id="818"/>
    <tableColumn name="Column800" id="819"/>
    <tableColumn name="Column801" id="820"/>
    <tableColumn name="Column802" id="821"/>
    <tableColumn name="Column803" id="822"/>
    <tableColumn name="Column804" id="823"/>
    <tableColumn name="Column805" id="824"/>
    <tableColumn name="Column806" id="825"/>
    <tableColumn name="Column807" id="826"/>
    <tableColumn name="Column808" id="827"/>
    <tableColumn name="Column809" id="828"/>
    <tableColumn name="Column810" id="829"/>
    <tableColumn name="Column811" id="830"/>
    <tableColumn name="Column812" id="831"/>
    <tableColumn name="Column813" id="832"/>
    <tableColumn name="Column814" id="833"/>
    <tableColumn name="Column815" id="834"/>
    <tableColumn name="Column816" id="835"/>
    <tableColumn name="Column817" id="836"/>
    <tableColumn name="Column818" id="837"/>
    <tableColumn name="Column819" id="838"/>
    <tableColumn name="Column820" id="839"/>
    <tableColumn name="Column821" id="840"/>
    <tableColumn name="Column822" id="841"/>
    <tableColumn name="Column823" id="842"/>
    <tableColumn name="Column824" id="843"/>
    <tableColumn name="Column825" id="844"/>
    <tableColumn name="Column826" id="845"/>
    <tableColumn name="Column827" id="846"/>
    <tableColumn name="Column828" id="847"/>
    <tableColumn name="Column829" id="848"/>
    <tableColumn name="Column830" id="849"/>
    <tableColumn name="Column831" id="850"/>
    <tableColumn name="Column832" id="851"/>
    <tableColumn name="Column833" id="852"/>
    <tableColumn name="Column834" id="853"/>
    <tableColumn name="Column835" id="854"/>
    <tableColumn name="Column836" id="855"/>
    <tableColumn name="Column837" id="856"/>
    <tableColumn name="Column838" id="857"/>
    <tableColumn name="Column839" id="858"/>
    <tableColumn name="Column840" id="859"/>
    <tableColumn name="Column841" id="860"/>
    <tableColumn name="Column842" id="861"/>
    <tableColumn name="Column843" id="862"/>
    <tableColumn name="Column844" id="863"/>
    <tableColumn name="Column845" id="864"/>
    <tableColumn name="Column846" id="865"/>
    <tableColumn name="Column847" id="866"/>
    <tableColumn name="Column848" id="867"/>
    <tableColumn name="Column849" id="868"/>
    <tableColumn name="Column850" id="869"/>
    <tableColumn name="Column851" id="870"/>
    <tableColumn name="Column852" id="871"/>
    <tableColumn name="Column853" id="872"/>
    <tableColumn name="Column854" id="873"/>
    <tableColumn name="Column855" id="874"/>
    <tableColumn name="Column856" id="875"/>
    <tableColumn name="Column857" id="876"/>
    <tableColumn name="Column858" id="877"/>
    <tableColumn name="Column859" id="878"/>
    <tableColumn name="Column860" id="879"/>
    <tableColumn name="Column861" id="880"/>
    <tableColumn name="Column862" id="881"/>
    <tableColumn name="Column863" id="882"/>
    <tableColumn name="Column864" id="883"/>
    <tableColumn name="Column865" id="884"/>
    <tableColumn name="Column866" id="885"/>
    <tableColumn name="Column867" id="886"/>
    <tableColumn name="Column868" id="887"/>
    <tableColumn name="Column869" id="888"/>
    <tableColumn name="Column870" id="889"/>
    <tableColumn name="Column871" id="890"/>
    <tableColumn name="Column872" id="891"/>
    <tableColumn name="Column873" id="892"/>
    <tableColumn name="Column874" id="893"/>
    <tableColumn name="Column875" id="894"/>
    <tableColumn name="Column876" id="895"/>
    <tableColumn name="Column877" id="896"/>
    <tableColumn name="Column878" id="897"/>
    <tableColumn name="Column879" id="898"/>
    <tableColumn name="Column880" id="899"/>
    <tableColumn name="Column881" id="900"/>
    <tableColumn name="Column882" id="901"/>
    <tableColumn name="Column883" id="902"/>
    <tableColumn name="Column884" id="903"/>
    <tableColumn name="Column885" id="904"/>
    <tableColumn name="Column886" id="905"/>
    <tableColumn name="Column887" id="906"/>
    <tableColumn name="Column888" id="907"/>
    <tableColumn name="Column889" id="908"/>
    <tableColumn name="Column890" id="909"/>
    <tableColumn name="Column891" id="910"/>
    <tableColumn name="Column892" id="911"/>
    <tableColumn name="Column893" id="912"/>
    <tableColumn name="Column894" id="913"/>
    <tableColumn name="Column895" id="914"/>
    <tableColumn name="Column896" id="915"/>
    <tableColumn name="Column897" id="916"/>
    <tableColumn name="Column898" id="917"/>
    <tableColumn name="Column899" id="918"/>
    <tableColumn name="Column900" id="919"/>
    <tableColumn name="Column901" id="920"/>
    <tableColumn name="Column902" id="921"/>
    <tableColumn name="Column903" id="922"/>
    <tableColumn name="Column904" id="923"/>
    <tableColumn name="Column905" id="924"/>
    <tableColumn name="Column906" id="925"/>
    <tableColumn name="Column907" id="926"/>
    <tableColumn name="Column908" id="927"/>
    <tableColumn name="Column909" id="928"/>
    <tableColumn name="Column910" id="929"/>
    <tableColumn name="Column911" id="930"/>
    <tableColumn name="Column912" id="931"/>
    <tableColumn name="Column913" id="932"/>
    <tableColumn name="Column914" id="933"/>
    <tableColumn name="Column915" id="934"/>
    <tableColumn name="Column916" id="935"/>
    <tableColumn name="Column917" id="936"/>
    <tableColumn name="Column918" id="937"/>
    <tableColumn name="Column919" id="938"/>
    <tableColumn name="Column920" id="939"/>
    <tableColumn name="Column921" id="940"/>
    <tableColumn name="Column922" id="941"/>
    <tableColumn name="Column923" id="942"/>
    <tableColumn name="Column924" id="943"/>
    <tableColumn name="Column925" id="944"/>
    <tableColumn name="Column926" id="945"/>
    <tableColumn name="Column927" id="946"/>
    <tableColumn name="Column928" id="947"/>
    <tableColumn name="Column929" id="948"/>
    <tableColumn name="Column930" id="949"/>
    <tableColumn name="Column931" id="950"/>
    <tableColumn name="Column932" id="951"/>
    <tableColumn name="Column933" id="952"/>
    <tableColumn name="Column934" id="953"/>
    <tableColumn name="Column935" id="954"/>
    <tableColumn name="Column936" id="955"/>
    <tableColumn name="Column937" id="956"/>
    <tableColumn name="Column938" id="957"/>
    <tableColumn name="Column939" id="958"/>
    <tableColumn name="Column940" id="959"/>
    <tableColumn name="Column941" id="960"/>
    <tableColumn name="Column942" id="961"/>
    <tableColumn name="Column943" id="962"/>
    <tableColumn name="Column944" id="963"/>
    <tableColumn name="Column945" id="964"/>
    <tableColumn name="Column946" id="965"/>
    <tableColumn name="Column947" id="966"/>
    <tableColumn name="Column948" id="967"/>
    <tableColumn name="Column949" id="968"/>
    <tableColumn name="Column950" id="969"/>
    <tableColumn name="Column951" id="970"/>
    <tableColumn name="Column952" id="971"/>
    <tableColumn name="Column953" id="972"/>
    <tableColumn name="Column954" id="973"/>
    <tableColumn name="Column955" id="974"/>
    <tableColumn name="Column956" id="975"/>
    <tableColumn name="Column957" id="976"/>
    <tableColumn name="Column958" id="977"/>
    <tableColumn name="Column959" id="978"/>
    <tableColumn name="Column960" id="979"/>
    <tableColumn name="Column961" id="980"/>
    <tableColumn name="Column962" id="981"/>
    <tableColumn name="Column963" id="982"/>
    <tableColumn name="Column964" id="983"/>
    <tableColumn name="Column965" id="984"/>
    <tableColumn name="Column966" id="985"/>
    <tableColumn name="Column967" id="986"/>
    <tableColumn name="Column968" id="987"/>
    <tableColumn name="Column969" id="988"/>
    <tableColumn name="Column970" id="989"/>
    <tableColumn name="Column971" id="990"/>
    <tableColumn name="Column972" id="991"/>
    <tableColumn name="Column973" id="992"/>
    <tableColumn name="Column974" id="993"/>
    <tableColumn name="Column975" id="994"/>
    <tableColumn name="Column976" id="995"/>
    <tableColumn name="Column977" id="996"/>
    <tableColumn name="Column978" id="997"/>
    <tableColumn name="Column979" id="998"/>
    <tableColumn name="Column980" id="999"/>
    <tableColumn name="Column981" id="1000"/>
    <tableColumn name="Column982" id="1001"/>
    <tableColumn name="Column983" id="1002"/>
    <tableColumn name="Column984" id="1003"/>
    <tableColumn name="Column985" id="1004"/>
    <tableColumn name="Column986" id="1005"/>
    <tableColumn name="Column987" id="1006"/>
    <tableColumn name="Column988" id="1007"/>
    <tableColumn name="Column989" id="1008"/>
    <tableColumn name="Column990" id="1009"/>
    <tableColumn name="Column991" id="1010"/>
    <tableColumn name="Column992" id="1011"/>
    <tableColumn name="Column993" id="1012"/>
    <tableColumn name="Column994" id="1013"/>
    <tableColumn name="Column995" id="1014"/>
    <tableColumn name="Column996" id="1015"/>
    <tableColumn name="Column997" id="1016"/>
    <tableColumn name="Column998" id="1017"/>
    <tableColumn name="Column999" id="1018"/>
    <tableColumn name="Column1000" id="1019"/>
    <tableColumn name="Column1001" id="1020"/>
    <tableColumn name="Column1002" id="1021"/>
    <tableColumn name="Column1003" id="1022"/>
    <tableColumn name="Column1004" id="1023"/>
    <tableColumn name="Column1005" id="1024"/>
    <tableColumn name="Column1006" id="1025"/>
    <tableColumn name="Column1007" id="1026"/>
    <tableColumn name="Column1008" id="1027"/>
    <tableColumn name="Column1009" id="1028"/>
    <tableColumn name="Column1010" id="1029"/>
    <tableColumn name="Column1011" id="1030"/>
    <tableColumn name="Column1012" id="1031"/>
    <tableColumn name="Column1013" id="1032"/>
    <tableColumn name="Column1014" id="1033"/>
    <tableColumn name="Column1015" id="1034"/>
    <tableColumn name="Column1016" id="1035"/>
    <tableColumn name="Column1017" id="1036"/>
    <tableColumn name="Column1018" id="1037"/>
    <tableColumn name="Column1019" id="1038"/>
    <tableColumn name="Column1020" id="1039"/>
    <tableColumn name="Column1021" id="1040"/>
    <tableColumn name="Column1022" id="1041"/>
    <tableColumn name="Column1023" id="1042"/>
    <tableColumn name="Column1024" id="1043"/>
    <tableColumn name="Column1025" id="1044"/>
    <tableColumn name="Column1026" id="1045"/>
    <tableColumn name="Column1027" id="1046"/>
    <tableColumn name="Column1028" id="1047"/>
    <tableColumn name="Column1029" id="1048"/>
    <tableColumn name="Column1030" id="1049"/>
    <tableColumn name="Column1031" id="1050"/>
    <tableColumn name="Column1032" id="1051"/>
    <tableColumn name="Column1033" id="1052"/>
    <tableColumn name="Column1034" id="1053"/>
    <tableColumn name="Column1035" id="1054"/>
    <tableColumn name="Column1036" id="1055"/>
    <tableColumn name="Column1037" id="1056"/>
    <tableColumn name="Column1038" id="1057"/>
    <tableColumn name="Column1039" id="1058"/>
    <tableColumn name="Column1040" id="1059"/>
    <tableColumn name="Column1041" id="1060"/>
    <tableColumn name="Column1042" id="1061"/>
    <tableColumn name="Column1043" id="1062"/>
    <tableColumn name="Column1044" id="1063"/>
    <tableColumn name="Column1045" id="1064"/>
    <tableColumn name="Column1046" id="1065"/>
    <tableColumn name="Column1047" id="1066"/>
    <tableColumn name="Column1048" id="1067"/>
    <tableColumn name="Column1049" id="1068"/>
    <tableColumn name="Column1050" id="1069"/>
    <tableColumn name="Column1051" id="1070"/>
    <tableColumn name="Column1052" id="1071"/>
    <tableColumn name="Column1053" id="1072"/>
    <tableColumn name="Column1054" id="1073"/>
    <tableColumn name="Column1055" id="1074"/>
    <tableColumn name="Column1056" id="1075"/>
    <tableColumn name="Column1057" id="1076"/>
    <tableColumn name="Column1058" id="1077"/>
    <tableColumn name="Column1059" id="1078"/>
    <tableColumn name="Column1060" id="1079"/>
    <tableColumn name="Column1061" id="1080"/>
    <tableColumn name="Column1062" id="1081"/>
    <tableColumn name="Column1063" id="1082"/>
    <tableColumn name="Column1064" id="1083"/>
    <tableColumn name="Column1065" id="1084"/>
    <tableColumn name="Column1066" id="1085"/>
    <tableColumn name="Column1067" id="1086"/>
    <tableColumn name="Column1068" id="1087"/>
    <tableColumn name="Column1069" id="1088"/>
    <tableColumn name="Column1070" id="1089"/>
    <tableColumn name="Column1071" id="1090"/>
    <tableColumn name="Column1072" id="1091"/>
    <tableColumn name="Column1073" id="1092"/>
    <tableColumn name="Column1074" id="1093"/>
    <tableColumn name="Column1075" id="1094"/>
    <tableColumn name="Column1076" id="1095"/>
    <tableColumn name="Column1077" id="1096"/>
    <tableColumn name="Column1078" id="1097"/>
    <tableColumn name="Column1079" id="1098"/>
    <tableColumn name="Column1080" id="1099"/>
    <tableColumn name="Column1081" id="1100"/>
    <tableColumn name="Column1082" id="1101"/>
    <tableColumn name="Column1083" id="1102"/>
    <tableColumn name="Column1084" id="1103"/>
    <tableColumn name="Column1085" id="1104"/>
    <tableColumn name="Column1086" id="1105"/>
    <tableColumn name="Column1087" id="1106"/>
    <tableColumn name="Column1088" id="1107"/>
    <tableColumn name="Column1089" id="1108"/>
    <tableColumn name="Column1090" id="1109"/>
    <tableColumn name="Column1091" id="1110"/>
    <tableColumn name="Column1092" id="1111"/>
    <tableColumn name="Column1093" id="1112"/>
    <tableColumn name="Column1094" id="1113"/>
    <tableColumn name="Column1095" id="1114"/>
    <tableColumn name="Column1096" id="1115"/>
    <tableColumn name="Column1097" id="1116"/>
    <tableColumn name="Column1098" id="1117"/>
    <tableColumn name="Column1099" id="1118"/>
    <tableColumn name="Column1100" id="1119"/>
    <tableColumn name="Column1101" id="1120"/>
    <tableColumn name="Column1102" id="1121"/>
    <tableColumn name="Column1103" id="1122"/>
    <tableColumn name="Column1104" id="1123"/>
    <tableColumn name="Column1105" id="1124"/>
    <tableColumn name="Column1106" id="1125"/>
    <tableColumn name="Column1107" id="1126"/>
    <tableColumn name="Column1108" id="1127"/>
    <tableColumn name="Column1109" id="1128"/>
    <tableColumn name="Column1110" id="1129"/>
    <tableColumn name="Column1111" id="1130"/>
    <tableColumn name="Column1112" id="1131"/>
    <tableColumn name="Column1113" id="1132"/>
    <tableColumn name="Column1114" id="1133"/>
    <tableColumn name="Column1115" id="1134"/>
    <tableColumn name="Column1116" id="1135"/>
    <tableColumn name="Column1117" id="1136"/>
    <tableColumn name="Column1118" id="1137"/>
    <tableColumn name="Column1119" id="1138"/>
    <tableColumn name="Column1120" id="1139"/>
    <tableColumn name="Column1121" id="1140"/>
    <tableColumn name="Column1122" id="1141"/>
    <tableColumn name="Column1123" id="1142"/>
    <tableColumn name="Column1124" id="1143"/>
    <tableColumn name="Column1125" id="1144"/>
    <tableColumn name="Column1126" id="1145"/>
    <tableColumn name="Column1127" id="1146"/>
    <tableColumn name="Column1128" id="1147"/>
    <tableColumn name="Column1129" id="1148"/>
    <tableColumn name="Column1130" id="1149"/>
    <tableColumn name="Column1131" id="1150"/>
    <tableColumn name="Column1132" id="1151"/>
    <tableColumn name="Column1133" id="1152"/>
    <tableColumn name="Column1134" id="1153"/>
    <tableColumn name="Column1135" id="1154"/>
    <tableColumn name="Column1136" id="1155"/>
    <tableColumn name="Column1137" id="1156"/>
    <tableColumn name="Column1138" id="1157"/>
    <tableColumn name="Column1139" id="1158"/>
    <tableColumn name="Column1140" id="1159"/>
    <tableColumn name="Column1141" id="1160"/>
    <tableColumn name="Column1142" id="1161"/>
    <tableColumn name="Column1143" id="1162"/>
    <tableColumn name="Column1144" id="1163"/>
    <tableColumn name="Column1145" id="1164"/>
    <tableColumn name="Column1146" id="1165"/>
    <tableColumn name="Column1147" id="1166"/>
    <tableColumn name="Column1148" id="1167"/>
    <tableColumn name="Column1149" id="1168"/>
    <tableColumn name="Column1150" id="1169"/>
    <tableColumn name="Column1151" id="1170"/>
    <tableColumn name="Column1152" id="1171"/>
    <tableColumn name="Column1153" id="1172"/>
    <tableColumn name="Column1154" id="1173"/>
    <tableColumn name="Column1155" id="1174"/>
    <tableColumn name="Column1156" id="1175"/>
    <tableColumn name="Column1157" id="1176"/>
    <tableColumn name="Column1158" id="1177"/>
    <tableColumn name="Column1159" id="1178"/>
    <tableColumn name="Column1160" id="1179"/>
    <tableColumn name="Column1161" id="1180"/>
    <tableColumn name="Column1162" id="1181"/>
    <tableColumn name="Column1163" id="1182"/>
    <tableColumn name="Column1164" id="1183"/>
    <tableColumn name="Column1165" id="1184"/>
    <tableColumn name="Column1166" id="1185"/>
    <tableColumn name="Column1167" id="1186"/>
    <tableColumn name="Column1168" id="1187"/>
    <tableColumn name="Column1169" id="1188"/>
    <tableColumn name="Column1170" id="1189"/>
    <tableColumn name="Column1171" id="1190"/>
    <tableColumn name="Column1172" id="1191"/>
    <tableColumn name="Column1173" id="1192"/>
    <tableColumn name="Column1174" id="1193"/>
    <tableColumn name="Column1175" id="1194"/>
    <tableColumn name="Column1176" id="1195"/>
    <tableColumn name="Column1177" id="1196"/>
    <tableColumn name="Column1178" id="1197"/>
    <tableColumn name="Column1179" id="1198"/>
    <tableColumn name="Column1180" id="1199"/>
    <tableColumn name="Column1181" id="1200"/>
    <tableColumn name="Column1182" id="1201"/>
    <tableColumn name="Column1183" id="1202"/>
    <tableColumn name="Column1184" id="1203"/>
    <tableColumn name="Column1185" id="1204"/>
    <tableColumn name="Column1186" id="1205"/>
    <tableColumn name="Column1187" id="1206"/>
    <tableColumn name="Column1188" id="1207"/>
    <tableColumn name="Column1189" id="1208"/>
    <tableColumn name="Column1190" id="1209"/>
    <tableColumn name="Column1191" id="1210"/>
    <tableColumn name="Column1192" id="1211"/>
    <tableColumn name="Column1193" id="1212"/>
    <tableColumn name="Column1194" id="1213"/>
    <tableColumn name="Column1195" id="1214"/>
    <tableColumn name="Column1196" id="1215"/>
    <tableColumn name="Column1197" id="1216"/>
    <tableColumn name="Column1198" id="1217"/>
    <tableColumn name="Column1199" id="1218"/>
    <tableColumn name="Column1200" id="1219"/>
    <tableColumn name="Column1201" id="1220"/>
    <tableColumn name="Column1202" id="1221"/>
    <tableColumn name="Column1203" id="1222"/>
    <tableColumn name="Column1204" id="1223"/>
    <tableColumn name="Column1205" id="1224"/>
    <tableColumn name="Column1206" id="1225"/>
    <tableColumn name="Column1207" id="1226"/>
    <tableColumn name="Column1208" id="1227"/>
    <tableColumn name="Column1209" id="1228"/>
    <tableColumn name="Column1210" id="1229"/>
    <tableColumn name="Column1211" id="1230"/>
    <tableColumn name="Column1212" id="1231"/>
    <tableColumn name="Column1213" id="1232"/>
    <tableColumn name="Column1214" id="1233"/>
    <tableColumn name="Column1215" id="1234"/>
    <tableColumn name="Column1216" id="1235"/>
    <tableColumn name="Column1217" id="1236"/>
    <tableColumn name="Column1218" id="1237"/>
    <tableColumn name="Column1219" id="1238"/>
    <tableColumn name="Column1220" id="1239"/>
    <tableColumn name="Column1221" id="1240"/>
    <tableColumn name="Column1222" id="1241"/>
    <tableColumn name="Column1223" id="1242"/>
    <tableColumn name="Column1224" id="1243"/>
    <tableColumn name="Column1225" id="1244"/>
    <tableColumn name="Column1226" id="1245"/>
    <tableColumn name="Column1227" id="1246"/>
    <tableColumn name="Column1228" id="1247"/>
    <tableColumn name="Column1229" id="1248"/>
    <tableColumn name="Column1230" id="1249"/>
    <tableColumn name="Column1231" id="1250"/>
    <tableColumn name="Column1232" id="1251"/>
    <tableColumn name="Column1233" id="1252"/>
    <tableColumn name="Column1234" id="1253"/>
    <tableColumn name="Column1235" id="1254"/>
    <tableColumn name="Column1236" id="1255"/>
    <tableColumn name="Column1237" id="1256"/>
    <tableColumn name="Column1238" id="1257"/>
    <tableColumn name="Column1239" id="1258"/>
    <tableColumn name="Column1240" id="1259"/>
    <tableColumn name="Column1241" id="1260"/>
    <tableColumn name="Column1242" id="1261"/>
    <tableColumn name="Column1243" id="1262"/>
    <tableColumn name="Column1244" id="1263"/>
    <tableColumn name="Column1245" id="1264"/>
    <tableColumn name="Column1246" id="1265"/>
    <tableColumn name="Column1247" id="1266"/>
    <tableColumn name="Column1248" id="1267"/>
    <tableColumn name="Column1249" id="1268"/>
    <tableColumn name="Column1250" id="1269"/>
    <tableColumn name="Column1251" id="1270"/>
    <tableColumn name="Column1252" id="1271"/>
    <tableColumn name="Column1253" id="1272"/>
    <tableColumn name="Column1254" id="1273"/>
    <tableColumn name="Column1255" id="1274"/>
    <tableColumn name="Column1256" id="1275"/>
    <tableColumn name="Column1257" id="1276"/>
    <tableColumn name="Column1258" id="1277"/>
    <tableColumn name="Column1259" id="1278"/>
    <tableColumn name="Column1260" id="1279"/>
    <tableColumn name="Column1261" id="1280"/>
    <tableColumn name="Column1262" id="1281"/>
    <tableColumn name="Column1263" id="1282"/>
    <tableColumn name="Column1264" id="1283"/>
    <tableColumn name="Column1265" id="1284"/>
    <tableColumn name="Column1266" id="1285"/>
    <tableColumn name="Column1267" id="1286"/>
    <tableColumn name="Column1268" id="1287"/>
    <tableColumn name="Column1269" id="1288"/>
    <tableColumn name="Column1270" id="1289"/>
    <tableColumn name="Column1271" id="1290"/>
    <tableColumn name="Column1272" id="1291"/>
    <tableColumn name="Column1273" id="1292"/>
    <tableColumn name="Column1274" id="1293"/>
    <tableColumn name="Column1275" id="1294"/>
    <tableColumn name="Column1276" id="1295"/>
    <tableColumn name="Column1277" id="1296"/>
    <tableColumn name="Column1278" id="1297"/>
    <tableColumn name="Column1279" id="1298"/>
    <tableColumn name="Column1280" id="1299"/>
    <tableColumn name="Column1281" id="1300"/>
    <tableColumn name="Column1282" id="1301"/>
    <tableColumn name="Column1283" id="1302"/>
    <tableColumn name="Column1284" id="1303"/>
    <tableColumn name="Column1285" id="1304"/>
    <tableColumn name="Column1286" id="1305"/>
    <tableColumn name="Column1287" id="1306"/>
    <tableColumn name="Column1288" id="1307"/>
    <tableColumn name="Column1289" id="1308"/>
    <tableColumn name="Column1290" id="1309"/>
    <tableColumn name="Column1291" id="1310"/>
    <tableColumn name="Column1292" id="1311"/>
    <tableColumn name="Column1293" id="1312"/>
    <tableColumn name="Column1294" id="1313"/>
    <tableColumn name="Column1295" id="1314"/>
    <tableColumn name="Column1296" id="1315"/>
    <tableColumn name="Column1297" id="1316"/>
    <tableColumn name="Column1298" id="1317"/>
    <tableColumn name="Column1299" id="1318"/>
    <tableColumn name="Column1300" id="1319"/>
    <tableColumn name="Column1301" id="1320"/>
    <tableColumn name="Column1302" id="1321"/>
    <tableColumn name="Column1303" id="1322"/>
    <tableColumn name="Column1304" id="1323"/>
    <tableColumn name="Column1305" id="1324"/>
    <tableColumn name="Column1306" id="1325"/>
    <tableColumn name="Column1307" id="1326"/>
    <tableColumn name="Column1308" id="1327"/>
    <tableColumn name="Column1309" id="1328"/>
    <tableColumn name="Column1310" id="1329"/>
    <tableColumn name="Column1311" id="1330"/>
    <tableColumn name="Column1312" id="1331"/>
    <tableColumn name="Column1313" id="1332"/>
    <tableColumn name="Column1314" id="1333"/>
    <tableColumn name="Column1315" id="1334"/>
    <tableColumn name="Column1316" id="1335"/>
    <tableColumn name="Column1317" id="1336"/>
    <tableColumn name="Column1318" id="1337"/>
    <tableColumn name="Column1319" id="1338"/>
    <tableColumn name="Column1320" id="1339"/>
    <tableColumn name="Column1321" id="1340"/>
    <tableColumn name="Column1322" id="1341"/>
    <tableColumn name="Column1323" id="1342"/>
    <tableColumn name="Column1324" id="1343"/>
    <tableColumn name="Column1325" id="1344"/>
    <tableColumn name="Column1326" id="1345"/>
    <tableColumn name="Column1327" id="1346"/>
    <tableColumn name="Column1328" id="1347"/>
    <tableColumn name="Column1329" id="1348"/>
    <tableColumn name="Column1330" id="1349"/>
    <tableColumn name="Column1331" id="1350"/>
    <tableColumn name="Column1332" id="1351"/>
    <tableColumn name="Column1333" id="1352"/>
    <tableColumn name="Column1334" id="1353"/>
    <tableColumn name="Column1335" id="1354"/>
    <tableColumn name="Column1336" id="1355"/>
    <tableColumn name="Column1337" id="1356"/>
    <tableColumn name="Column1338" id="1357"/>
    <tableColumn name="Column1339" id="1358"/>
    <tableColumn name="Column1340" id="1359"/>
    <tableColumn name="Column1341" id="1360"/>
    <tableColumn name="Column1342" id="1361"/>
    <tableColumn name="Column1343" id="1362"/>
    <tableColumn name="Column1344" id="1363"/>
    <tableColumn name="Column1345" id="1364"/>
    <tableColumn name="Column1346" id="1365"/>
    <tableColumn name="Column1347" id="1366"/>
    <tableColumn name="Column1348" id="1367"/>
    <tableColumn name="Column1349" id="1368"/>
    <tableColumn name="Column1350" id="1369"/>
    <tableColumn name="Column1351" id="1370"/>
    <tableColumn name="Column1352" id="1371"/>
    <tableColumn name="Column1353" id="1372"/>
    <tableColumn name="Column1354" id="1373"/>
    <tableColumn name="Column1355" id="1374"/>
    <tableColumn name="Column1356" id="1375"/>
    <tableColumn name="Column1357" id="1376"/>
    <tableColumn name="Column1358" id="1377"/>
    <tableColumn name="Column1359" id="1378"/>
    <tableColumn name="Column1360" id="1379"/>
    <tableColumn name="Column1361" id="1380"/>
    <tableColumn name="Column1362" id="1381"/>
    <tableColumn name="Column1363" id="1382"/>
    <tableColumn name="Column1364" id="1383"/>
    <tableColumn name="Column1365" id="1384"/>
    <tableColumn name="Column1366" id="1385"/>
    <tableColumn name="Column1367" id="1386"/>
    <tableColumn name="Column1368" id="1387"/>
    <tableColumn name="Column1369" id="1388"/>
    <tableColumn name="Column1370" id="1389"/>
    <tableColumn name="Column1371" id="1390"/>
    <tableColumn name="Column1372" id="1391"/>
    <tableColumn name="Column1373" id="1392"/>
    <tableColumn name="Column1374" id="1393"/>
    <tableColumn name="Column1375" id="1394"/>
    <tableColumn name="Column1376" id="1395"/>
    <tableColumn name="Column1377" id="1396"/>
    <tableColumn name="Column1378" id="1397"/>
    <tableColumn name="Column1379" id="1398"/>
    <tableColumn name="Column1380" id="1399"/>
    <tableColumn name="Column1381" id="1400"/>
    <tableColumn name="Column1382" id="1401"/>
    <tableColumn name="Column1383" id="1402"/>
    <tableColumn name="Column1384" id="1403"/>
    <tableColumn name="Column1385" id="1404"/>
    <tableColumn name="Column1386" id="1405"/>
    <tableColumn name="Column1387" id="1406"/>
    <tableColumn name="Column1388" id="1407"/>
    <tableColumn name="Column1389" id="1408"/>
    <tableColumn name="Column1390" id="1409"/>
    <tableColumn name="Column1391" id="1410"/>
    <tableColumn name="Column1392" id="1411"/>
    <tableColumn name="Column1393" id="1412"/>
    <tableColumn name="Column1394" id="1413"/>
    <tableColumn name="Column1395" id="1414"/>
    <tableColumn name="Column1396" id="1415"/>
    <tableColumn name="Column1397" id="1416"/>
    <tableColumn name="Column1398" id="1417"/>
    <tableColumn name="Column1399" id="1418"/>
    <tableColumn name="Column1400" id="1419"/>
    <tableColumn name="Column1401" id="1420"/>
    <tableColumn name="Column1402" id="1421"/>
    <tableColumn name="Column1403" id="1422"/>
    <tableColumn name="Column1404" id="1423"/>
    <tableColumn name="Column1405" id="1424"/>
    <tableColumn name="Column1406" id="1425"/>
    <tableColumn name="Column1407" id="1426"/>
    <tableColumn name="Column1408" id="1427"/>
    <tableColumn name="Column1409" id="1428"/>
    <tableColumn name="Column1410" id="1429"/>
    <tableColumn name="Column1411" id="1430"/>
    <tableColumn name="Column1412" id="1431"/>
    <tableColumn name="Column1413" id="1432"/>
    <tableColumn name="Column1414" id="1433"/>
    <tableColumn name="Column1415" id="1434"/>
    <tableColumn name="Column1416" id="1435"/>
    <tableColumn name="Column1417" id="1436"/>
    <tableColumn name="Column1418" id="1437"/>
    <tableColumn name="Column1419" id="1438"/>
    <tableColumn name="Column1420" id="1439"/>
    <tableColumn name="Column1421" id="1440"/>
    <tableColumn name="Column1422" id="1441"/>
    <tableColumn name="Column1423" id="1442"/>
    <tableColumn name="Column1424" id="1443"/>
    <tableColumn name="Column1425" id="1444"/>
    <tableColumn name="Column1426" id="1445"/>
    <tableColumn name="Column1427" id="1446"/>
    <tableColumn name="Column1428" id="1447"/>
    <tableColumn name="Column1429" id="1448"/>
    <tableColumn name="Column1430" id="1449"/>
    <tableColumn name="Column1431" id="1450"/>
    <tableColumn name="Column1432" id="1451"/>
    <tableColumn name="Column1433" id="1452"/>
    <tableColumn name="Column1434" id="1453"/>
    <tableColumn name="Column1435" id="1454"/>
    <tableColumn name="Column1436" id="1455"/>
    <tableColumn name="Column1437" id="1456"/>
    <tableColumn name="Column1438" id="1457"/>
    <tableColumn name="Column1439" id="1458"/>
    <tableColumn name="Column1440" id="1459"/>
    <tableColumn name="Column1441" id="1460"/>
    <tableColumn name="Column1442" id="1461"/>
    <tableColumn name="Column1443" id="1462"/>
    <tableColumn name="Column1444" id="1463"/>
    <tableColumn name="Column1445" id="1464"/>
    <tableColumn name="Column1446" id="1465"/>
    <tableColumn name="Column1447" id="1466"/>
    <tableColumn name="Column1448" id="1467"/>
    <tableColumn name="Column1449" id="1468"/>
    <tableColumn name="Column1450" id="1469"/>
    <tableColumn name="Column1451" id="1470"/>
    <tableColumn name="Column1452" id="1471"/>
    <tableColumn name="Column1453" id="1472"/>
    <tableColumn name="Column1454" id="1473"/>
    <tableColumn name="Column1455" id="1474"/>
    <tableColumn name="Column1456" id="1475"/>
    <tableColumn name="Column1457" id="1476"/>
    <tableColumn name="Column1458" id="1477"/>
    <tableColumn name="Column1459" id="1478"/>
    <tableColumn name="Column1460" id="1479"/>
    <tableColumn name="Column1461" id="1480"/>
    <tableColumn name="Column1462" id="1481"/>
    <tableColumn name="Column1463" id="1482"/>
    <tableColumn name="Column1464" id="1483"/>
    <tableColumn name="Column1465" id="1484"/>
    <tableColumn name="Column1466" id="1485"/>
    <tableColumn name="Column1467" id="1486"/>
    <tableColumn name="Column1468" id="1487"/>
    <tableColumn name="Column1469" id="1488"/>
    <tableColumn name="Column1470" id="1489"/>
    <tableColumn name="Column1471" id="1490"/>
    <tableColumn name="Column1472" id="1491"/>
    <tableColumn name="Column1473" id="1492"/>
    <tableColumn name="Column1474" id="1493"/>
    <tableColumn name="Column1475" id="1494"/>
    <tableColumn name="Column1476" id="1495"/>
    <tableColumn name="Column1477" id="1496"/>
    <tableColumn name="Column1478" id="1497"/>
    <tableColumn name="Column1479" id="1498"/>
    <tableColumn name="Column1480" id="1499"/>
    <tableColumn name="Column1481" id="1500"/>
    <tableColumn name="Column1482" id="1501"/>
    <tableColumn name="Column1483" id="1502"/>
    <tableColumn name="Column1484" id="1503"/>
    <tableColumn name="Column1485" id="1504"/>
    <tableColumn name="Column1486" id="1505"/>
    <tableColumn name="Column1487" id="1506"/>
    <tableColumn name="Column1488" id="1507"/>
    <tableColumn name="Column1489" id="1508"/>
    <tableColumn name="Column1490" id="1509"/>
    <tableColumn name="Column1491" id="1510"/>
    <tableColumn name="Column1492" id="1511"/>
    <tableColumn name="Column1493" id="1512"/>
    <tableColumn name="Column1494" id="1513"/>
    <tableColumn name="Column1495" id="1514"/>
    <tableColumn name="Column1496" id="1515"/>
    <tableColumn name="Column1497" id="1516"/>
    <tableColumn name="Column1498" id="1517"/>
    <tableColumn name="Column1499" id="1518"/>
    <tableColumn name="Column1500" id="1519"/>
    <tableColumn name="Column1501" id="1520"/>
    <tableColumn name="Column1502" id="1521"/>
    <tableColumn name="Column1503" id="1522"/>
    <tableColumn name="Column1504" id="1523"/>
    <tableColumn name="Column1505" id="1524"/>
    <tableColumn name="Column1506" id="1525"/>
    <tableColumn name="Column1507" id="1526"/>
    <tableColumn name="Column1508" id="1527"/>
    <tableColumn name="Column1509" id="1528"/>
    <tableColumn name="Column1510" id="1529"/>
    <tableColumn name="Column1511" id="1530"/>
    <tableColumn name="Column1512" id="1531"/>
    <tableColumn name="Column1513" id="1532"/>
    <tableColumn name="Column1514" id="1533"/>
    <tableColumn name="Column1515" id="1534"/>
    <tableColumn name="Column1516" id="1535"/>
    <tableColumn name="Column1517" id="1536"/>
    <tableColumn name="Column1518" id="1537"/>
    <tableColumn name="Column1519" id="1538"/>
    <tableColumn name="Column1520" id="1539"/>
    <tableColumn name="Column1521" id="1540"/>
    <tableColumn name="Column1522" id="1541"/>
    <tableColumn name="Column1523" id="1542"/>
    <tableColumn name="Column1524" id="1543"/>
    <tableColumn name="Column1525" id="1544"/>
    <tableColumn name="Column1526" id="1545"/>
    <tableColumn name="Column1527" id="1546"/>
    <tableColumn name="Column1528" id="1547"/>
    <tableColumn name="Column1529" id="1548"/>
    <tableColumn name="Column1530" id="1549"/>
    <tableColumn name="Column1531" id="1550"/>
    <tableColumn name="Column1532" id="1551"/>
    <tableColumn name="Column1533" id="1552"/>
    <tableColumn name="Column1534" id="1553"/>
    <tableColumn name="Column1535" id="1554"/>
    <tableColumn name="Column1536" id="1555"/>
    <tableColumn name="Column1537" id="1556"/>
    <tableColumn name="Column1538" id="1557"/>
    <tableColumn name="Column1539" id="1558"/>
    <tableColumn name="Column1540" id="1559"/>
    <tableColumn name="Column1541" id="1560"/>
    <tableColumn name="Column1542" id="1561"/>
    <tableColumn name="Column1543" id="1562"/>
    <tableColumn name="Column1544" id="1563"/>
    <tableColumn name="Column1545" id="1564"/>
    <tableColumn name="Column1546" id="1565"/>
    <tableColumn name="Column1547" id="1566"/>
    <tableColumn name="Column1548" id="1567"/>
    <tableColumn name="Column1549" id="1568"/>
    <tableColumn name="Column1550" id="1569"/>
    <tableColumn name="Column1551" id="1570"/>
    <tableColumn name="Column1552" id="1571"/>
    <tableColumn name="Column1553" id="1572"/>
    <tableColumn name="Column1554" id="1573"/>
    <tableColumn name="Column1555" id="1574"/>
    <tableColumn name="Column1556" id="1575"/>
    <tableColumn name="Column1557" id="1576"/>
    <tableColumn name="Column1558" id="1577"/>
    <tableColumn name="Column1559" id="1578"/>
    <tableColumn name="Column1560" id="1579"/>
    <tableColumn name="Column1561" id="1580"/>
    <tableColumn name="Column1562" id="1581"/>
    <tableColumn name="Column1563" id="1582"/>
    <tableColumn name="Column1564" id="1583"/>
    <tableColumn name="Column1565" id="1584"/>
    <tableColumn name="Column1566" id="1585"/>
    <tableColumn name="Column1567" id="1586"/>
    <tableColumn name="Column1568" id="1587"/>
    <tableColumn name="Column1569" id="1588"/>
    <tableColumn name="Column1570" id="1589"/>
    <tableColumn name="Column1571" id="1590"/>
    <tableColumn name="Column1572" id="1591"/>
    <tableColumn name="Column1573" id="1592"/>
    <tableColumn name="Column1574" id="1593"/>
    <tableColumn name="Column1575" id="1594"/>
    <tableColumn name="Column1576" id="1595"/>
    <tableColumn name="Column1577" id="1596"/>
    <tableColumn name="Column1578" id="1597"/>
    <tableColumn name="Column1579" id="1598"/>
    <tableColumn name="Column1580" id="1599"/>
    <tableColumn name="Column1581" id="1600"/>
    <tableColumn name="Column1582" id="1601"/>
    <tableColumn name="Column1583" id="1602"/>
    <tableColumn name="Column1584" id="1603"/>
    <tableColumn name="Column1585" id="1604"/>
    <tableColumn name="Column1586" id="1605"/>
    <tableColumn name="Column1587" id="1606"/>
    <tableColumn name="Column1588" id="1607"/>
    <tableColumn name="Column1589" id="1608"/>
    <tableColumn name="Column1590" id="1609"/>
    <tableColumn name="Column1591" id="1610"/>
    <tableColumn name="Column1592" id="1611"/>
    <tableColumn name="Column1593" id="1612"/>
    <tableColumn name="Column1594" id="1613"/>
    <tableColumn name="Column1595" id="1614"/>
    <tableColumn name="Column1596" id="1615"/>
    <tableColumn name="Column1597" id="1616"/>
    <tableColumn name="Column1598" id="1617"/>
    <tableColumn name="Column1599" id="1618"/>
    <tableColumn name="Column1600" id="1619"/>
    <tableColumn name="Column1601" id="1620"/>
    <tableColumn name="Column1602" id="1621"/>
    <tableColumn name="Column1603" id="1622"/>
    <tableColumn name="Column1604" id="1623"/>
    <tableColumn name="Column1605" id="1624"/>
    <tableColumn name="Column1606" id="1625"/>
    <tableColumn name="Column1607" id="1626"/>
    <tableColumn name="Column1608" id="1627"/>
    <tableColumn name="Column1609" id="1628"/>
    <tableColumn name="Column1610" id="1629"/>
    <tableColumn name="Column1611" id="1630"/>
    <tableColumn name="Column1612" id="1631"/>
    <tableColumn name="Column1613" id="1632"/>
    <tableColumn name="Column1614" id="1633"/>
    <tableColumn name="Column1615" id="1634"/>
    <tableColumn name="Column1616" id="1635"/>
    <tableColumn name="Column1617" id="1636"/>
    <tableColumn name="Column1618" id="1637"/>
    <tableColumn name="Column1619" id="1638"/>
    <tableColumn name="Column1620" id="1639"/>
    <tableColumn name="Column1621" id="1640"/>
    <tableColumn name="Column1622" id="1641"/>
    <tableColumn name="Column1623" id="1642"/>
    <tableColumn name="Column1624" id="1643"/>
    <tableColumn name="Column1625" id="1644"/>
    <tableColumn name="Column1626" id="1645"/>
    <tableColumn name="Column1627" id="1646"/>
    <tableColumn name="Column1628" id="1647"/>
    <tableColumn name="Column1629" id="1648"/>
    <tableColumn name="Column1630" id="1649"/>
    <tableColumn name="Column1631" id="1650"/>
    <tableColumn name="Column1632" id="1651"/>
    <tableColumn name="Column1633" id="1652"/>
    <tableColumn name="Column1634" id="1653"/>
    <tableColumn name="Column1635" id="1654"/>
    <tableColumn name="Column1636" id="1655"/>
    <tableColumn name="Column1637" id="1656"/>
    <tableColumn name="Column1638" id="1657"/>
    <tableColumn name="Column1639" id="1658"/>
    <tableColumn name="Column1640" id="1659"/>
    <tableColumn name="Column1641" id="1660"/>
    <tableColumn name="Column1642" id="1661"/>
    <tableColumn name="Column1643" id="1662"/>
    <tableColumn name="Column1644" id="1663"/>
    <tableColumn name="Column1645" id="1664"/>
    <tableColumn name="Column1646" id="1665"/>
    <tableColumn name="Column1647" id="1666"/>
    <tableColumn name="Column1648" id="1667"/>
    <tableColumn name="Column1649" id="1668"/>
    <tableColumn name="Column1650" id="1669"/>
    <tableColumn name="Column1651" id="1670"/>
    <tableColumn name="Column1652" id="1671"/>
    <tableColumn name="Column1653" id="1672"/>
    <tableColumn name="Column1654" id="1673"/>
    <tableColumn name="Column1655" id="1674"/>
    <tableColumn name="Column1656" id="1675"/>
    <tableColumn name="Column1657" id="1676"/>
    <tableColumn name="Column1658" id="1677"/>
    <tableColumn name="Column1659" id="1678"/>
    <tableColumn name="Column1660" id="1679"/>
    <tableColumn name="Column1661" id="1680"/>
    <tableColumn name="Column1662" id="1681"/>
    <tableColumn name="Column1663" id="1682"/>
    <tableColumn name="Column1664" id="1683"/>
    <tableColumn name="Column1665" id="1684"/>
    <tableColumn name="Column1666" id="1685"/>
    <tableColumn name="Column1667" id="1686"/>
    <tableColumn name="Column1668" id="1687"/>
    <tableColumn name="Column1669" id="1688"/>
    <tableColumn name="Column1670" id="1689"/>
    <tableColumn name="Column1671" id="1690"/>
    <tableColumn name="Column1672" id="1691"/>
    <tableColumn name="Column1673" id="1692"/>
    <tableColumn name="Column1674" id="1693"/>
    <tableColumn name="Column1675" id="1694"/>
    <tableColumn name="Column1676" id="1695"/>
    <tableColumn name="Column1677" id="1696"/>
    <tableColumn name="Column1678" id="1697"/>
    <tableColumn name="Column1679" id="1698"/>
    <tableColumn name="Column1680" id="1699"/>
    <tableColumn name="Column1681" id="1700"/>
    <tableColumn name="Column1682" id="1701"/>
    <tableColumn name="Column1683" id="1702"/>
    <tableColumn name="Column1684" id="1703"/>
    <tableColumn name="Column1685" id="1704"/>
    <tableColumn name="Column1686" id="1705"/>
    <tableColumn name="Column1687" id="1706"/>
    <tableColumn name="Column1688" id="1707"/>
    <tableColumn name="Column1689" id="1708"/>
    <tableColumn name="Column1690" id="1709"/>
    <tableColumn name="Column1691" id="1710"/>
    <tableColumn name="Column1692" id="1711"/>
    <tableColumn name="Column1693" id="1712"/>
    <tableColumn name="Column1694" id="1713"/>
    <tableColumn name="Column1695" id="1714"/>
    <tableColumn name="Column1696" id="1715"/>
    <tableColumn name="Column1697" id="1716"/>
    <tableColumn name="Column1698" id="1717"/>
    <tableColumn name="Column1699" id="1718"/>
    <tableColumn name="Column1700" id="1719"/>
    <tableColumn name="Column1701" id="1720"/>
    <tableColumn name="Column1702" id="1721"/>
    <tableColumn name="Column1703" id="1722"/>
    <tableColumn name="Column1704" id="1723"/>
    <tableColumn name="Column1705" id="1724"/>
    <tableColumn name="Column1706" id="1725"/>
    <tableColumn name="Column1707" id="1726"/>
    <tableColumn name="Column1708" id="1727"/>
    <tableColumn name="Column1709" id="1728"/>
    <tableColumn name="Column1710" id="1729"/>
    <tableColumn name="Column1711" id="1730"/>
    <tableColumn name="Column1712" id="1731"/>
    <tableColumn name="Column1713" id="1732"/>
    <tableColumn name="Column1714" id="1733"/>
    <tableColumn name="Column1715" id="1734"/>
    <tableColumn name="Column1716" id="1735"/>
    <tableColumn name="Column1717" id="1736"/>
    <tableColumn name="Column1718" id="1737"/>
    <tableColumn name="Column1719" id="1738"/>
    <tableColumn name="Column1720" id="1739"/>
    <tableColumn name="Column1721" id="1740"/>
    <tableColumn name="Column1722" id="1741"/>
    <tableColumn name="Column1723" id="1742"/>
    <tableColumn name="Column1724" id="1743"/>
    <tableColumn name="Column1725" id="1744"/>
    <tableColumn name="Column1726" id="1745"/>
    <tableColumn name="Column1727" id="1746"/>
    <tableColumn name="Column1728" id="1747"/>
    <tableColumn name="Column1729" id="1748"/>
    <tableColumn name="Column1730" id="1749"/>
    <tableColumn name="Column1731" id="1750"/>
    <tableColumn name="Column1732" id="1751"/>
    <tableColumn name="Column1733" id="1752"/>
    <tableColumn name="Column1734" id="1753"/>
    <tableColumn name="Column1735" id="1754"/>
    <tableColumn name="Column1736" id="1755"/>
    <tableColumn name="Column1737" id="1756"/>
    <tableColumn name="Column1738" id="1757"/>
    <tableColumn name="Column1739" id="1758"/>
    <tableColumn name="Column1740" id="1759"/>
    <tableColumn name="Column1741" id="1760"/>
    <tableColumn name="Column1742" id="1761"/>
    <tableColumn name="Column1743" id="1762"/>
    <tableColumn name="Column1744" id="1763"/>
    <tableColumn name="Column1745" id="1764"/>
    <tableColumn name="Column1746" id="1765"/>
    <tableColumn name="Column1747" id="1766"/>
    <tableColumn name="Column1748" id="1767"/>
    <tableColumn name="Column1749" id="1768"/>
    <tableColumn name="Column1750" id="1769"/>
    <tableColumn name="Column1751" id="1770"/>
    <tableColumn name="Column1752" id="1771"/>
    <tableColumn name="Column1753" id="1772"/>
    <tableColumn name="Column1754" id="1773"/>
    <tableColumn name="Column1755" id="1774"/>
    <tableColumn name="Column1756" id="1775"/>
    <tableColumn name="Column1757" id="1776"/>
    <tableColumn name="Column1758" id="1777"/>
    <tableColumn name="Column1759" id="1778"/>
    <tableColumn name="Column1760" id="1779"/>
    <tableColumn name="Column1761" id="1780"/>
    <tableColumn name="Column1762" id="1781"/>
    <tableColumn name="Column1763" id="1782"/>
    <tableColumn name="Column1764" id="1783"/>
    <tableColumn name="Column1765" id="1784"/>
    <tableColumn name="Column1766" id="1785"/>
    <tableColumn name="Column1767" id="1786"/>
    <tableColumn name="Column1768" id="1787"/>
    <tableColumn name="Column1769" id="1788"/>
    <tableColumn name="Column1770" id="1789"/>
    <tableColumn name="Column1771" id="1790"/>
    <tableColumn name="Column1772" id="1791"/>
    <tableColumn name="Column1773" id="1792"/>
    <tableColumn name="Column1774" id="1793"/>
    <tableColumn name="Column1775" id="1794"/>
    <tableColumn name="Column1776" id="1795"/>
    <tableColumn name="Column1777" id="1796"/>
    <tableColumn name="Column1778" id="1797"/>
    <tableColumn name="Column1779" id="1798"/>
    <tableColumn name="Column1780" id="1799"/>
    <tableColumn name="Column1781" id="1800"/>
    <tableColumn name="Column1782" id="1801"/>
    <tableColumn name="Column1783" id="1802"/>
    <tableColumn name="Column1784" id="1803"/>
    <tableColumn name="Column1785" id="1804"/>
    <tableColumn name="Column1786" id="1805"/>
    <tableColumn name="Column1787" id="1806"/>
    <tableColumn name="Column1788" id="1807"/>
    <tableColumn name="Column1789" id="1808"/>
    <tableColumn name="Column1790" id="1809"/>
    <tableColumn name="Column1791" id="1810"/>
    <tableColumn name="Column1792" id="1811"/>
    <tableColumn name="Column1793" id="1812"/>
    <tableColumn name="Column1794" id="1813"/>
    <tableColumn name="Column1795" id="1814"/>
    <tableColumn name="Column1796" id="1815"/>
    <tableColumn name="Column1797" id="1816"/>
    <tableColumn name="Column1798" id="1817"/>
    <tableColumn name="Column1799" id="1818"/>
    <tableColumn name="Column1800" id="1819"/>
    <tableColumn name="Column1801" id="1820"/>
    <tableColumn name="Column1802" id="1821"/>
    <tableColumn name="Column1803" id="1822"/>
    <tableColumn name="Column1804" id="1823"/>
    <tableColumn name="Column1805" id="1824"/>
    <tableColumn name="Column1806" id="1825"/>
    <tableColumn name="Column1807" id="1826"/>
    <tableColumn name="Column1808" id="1827"/>
    <tableColumn name="Column1809" id="1828"/>
    <tableColumn name="Column1810" id="1829"/>
    <tableColumn name="Column1811" id="1830"/>
    <tableColumn name="Column1812" id="1831"/>
    <tableColumn name="Column1813" id="1832"/>
    <tableColumn name="Column1814" id="1833"/>
    <tableColumn name="Column1815" id="1834"/>
    <tableColumn name="Column1816" id="1835"/>
    <tableColumn name="Column1817" id="1836"/>
    <tableColumn name="Column1818" id="1837"/>
    <tableColumn name="Column1819" id="1838"/>
    <tableColumn name="Column1820" id="1839"/>
    <tableColumn name="Column1821" id="1840"/>
    <tableColumn name="Column1822" id="1841"/>
    <tableColumn name="Column1823" id="1842"/>
    <tableColumn name="Column1824" id="1843"/>
    <tableColumn name="Column1825" id="1844"/>
    <tableColumn name="Column1826" id="1845"/>
    <tableColumn name="Column1827" id="1846"/>
    <tableColumn name="Column1828" id="1847"/>
    <tableColumn name="Column1829" id="1848"/>
    <tableColumn name="Column1830" id="1849"/>
    <tableColumn name="Column1831" id="1850"/>
    <tableColumn name="Column1832" id="1851"/>
    <tableColumn name="Column1833" id="1852"/>
    <tableColumn name="Column1834" id="1853"/>
    <tableColumn name="Column1835" id="1854"/>
    <tableColumn name="Column1836" id="1855"/>
    <tableColumn name="Column1837" id="1856"/>
    <tableColumn name="Column1838" id="1857"/>
    <tableColumn name="Column1839" id="1858"/>
    <tableColumn name="Column1840" id="1859"/>
    <tableColumn name="Column1841" id="1860"/>
    <tableColumn name="Column1842" id="1861"/>
    <tableColumn name="Column1843" id="1862"/>
    <tableColumn name="Column1844" id="1863"/>
    <tableColumn name="Column1845" id="1864"/>
    <tableColumn name="Column1846" id="1865"/>
    <tableColumn name="Column1847" id="1866"/>
    <tableColumn name="Column1848" id="1867"/>
    <tableColumn name="Column1849" id="1868"/>
    <tableColumn name="Column1850" id="1869"/>
    <tableColumn name="Column1851" id="1870"/>
    <tableColumn name="Column1852" id="1871"/>
    <tableColumn name="Column1853" id="1872"/>
    <tableColumn name="Column1854" id="1873"/>
    <tableColumn name="Column1855" id="1874"/>
    <tableColumn name="Column1856" id="1875"/>
    <tableColumn name="Column1857" id="1876"/>
    <tableColumn name="Column1858" id="1877"/>
    <tableColumn name="Column1859" id="1878"/>
    <tableColumn name="Column1860" id="1879"/>
    <tableColumn name="Column1861" id="1880"/>
    <tableColumn name="Column1862" id="1881"/>
    <tableColumn name="Column1863" id="1882"/>
    <tableColumn name="Column1864" id="1883"/>
    <tableColumn name="Column1865" id="1884"/>
    <tableColumn name="Column1866" id="1885"/>
    <tableColumn name="Column1867" id="1886"/>
    <tableColumn name="Column1868" id="1887"/>
    <tableColumn name="Column1869" id="1888"/>
    <tableColumn name="Column1870" id="1889"/>
    <tableColumn name="Column1871" id="1890"/>
    <tableColumn name="Column1872" id="1891"/>
    <tableColumn name="Column1873" id="1892"/>
    <tableColumn name="Column1874" id="1893"/>
    <tableColumn name="Column1875" id="1894"/>
    <tableColumn name="Column1876" id="1895"/>
    <tableColumn name="Column1877" id="1896"/>
    <tableColumn name="Column1878" id="1897"/>
    <tableColumn name="Column1879" id="1898"/>
    <tableColumn name="Column1880" id="1899"/>
    <tableColumn name="Column1881" id="1900"/>
    <tableColumn name="Column1882" id="1901"/>
    <tableColumn name="Column1883" id="1902"/>
    <tableColumn name="Column1884" id="1903"/>
    <tableColumn name="Column1885" id="1904"/>
    <tableColumn name="Column1886" id="1905"/>
    <tableColumn name="Column1887" id="1906"/>
    <tableColumn name="Column1888" id="1907"/>
    <tableColumn name="Column1889" id="1908"/>
    <tableColumn name="Column1890" id="1909"/>
    <tableColumn name="Column1891" id="1910"/>
    <tableColumn name="Column1892" id="1911"/>
    <tableColumn name="Column1893" id="1912"/>
    <tableColumn name="Column1894" id="1913"/>
    <tableColumn name="Column1895" id="1914"/>
    <tableColumn name="Column1896" id="1915"/>
    <tableColumn name="Column1897" id="1916"/>
    <tableColumn name="Column1898" id="1917"/>
    <tableColumn name="Column1899" id="1918"/>
    <tableColumn name="Column1900" id="1919"/>
    <tableColumn name="Column1901" id="1920"/>
    <tableColumn name="Column1902" id="1921"/>
    <tableColumn name="Column1903" id="1922"/>
    <tableColumn name="Column1904" id="1923"/>
    <tableColumn name="Column1905" id="1924"/>
    <tableColumn name="Column1906" id="1925"/>
    <tableColumn name="Column1907" id="1926"/>
    <tableColumn name="Column1908" id="1927"/>
    <tableColumn name="Column1909" id="1928"/>
    <tableColumn name="Column1910" id="1929"/>
    <tableColumn name="Column1911" id="1930"/>
    <tableColumn name="Column1912" id="1931"/>
    <tableColumn name="Column1913" id="1932"/>
    <tableColumn name="Column1914" id="1933"/>
    <tableColumn name="Column1915" id="1934"/>
    <tableColumn name="Column1916" id="1935"/>
    <tableColumn name="Column1917" id="1936"/>
    <tableColumn name="Column1918" id="1937"/>
    <tableColumn name="Column1919" id="1938"/>
    <tableColumn name="Column1920" id="1939"/>
    <tableColumn name="Column1921" id="1940"/>
    <tableColumn name="Column1922" id="1941"/>
    <tableColumn name="Column1923" id="1942"/>
    <tableColumn name="Column1924" id="1943"/>
    <tableColumn name="Column1925" id="1944"/>
    <tableColumn name="Column1926" id="1945"/>
    <tableColumn name="Column1927" id="1946"/>
    <tableColumn name="Column1928" id="1947"/>
    <tableColumn name="Column1929" id="1948"/>
    <tableColumn name="Column1930" id="1949"/>
    <tableColumn name="Column1931" id="1950"/>
    <tableColumn name="Column1932" id="1951"/>
    <tableColumn name="Column1933" id="1952"/>
    <tableColumn name="Column1934" id="1953"/>
    <tableColumn name="Column1935" id="1954"/>
    <tableColumn name="Column1936" id="1955"/>
    <tableColumn name="Column1937" id="1956"/>
    <tableColumn name="Column1938" id="1957"/>
    <tableColumn name="Column1939" id="1958"/>
    <tableColumn name="Column1940" id="1959"/>
    <tableColumn name="Column1941" id="1960"/>
    <tableColumn name="Column1942" id="1961"/>
    <tableColumn name="Column1943" id="1962"/>
    <tableColumn name="Column1944" id="1963"/>
    <tableColumn name="Column1945" id="1964"/>
    <tableColumn name="Column1946" id="1965"/>
    <tableColumn name="Column1947" id="1966"/>
    <tableColumn name="Column1948" id="1967"/>
    <tableColumn name="Column1949" id="1968"/>
    <tableColumn name="Column1950" id="1969"/>
    <tableColumn name="Column1951" id="1970"/>
    <tableColumn name="Column1952" id="1971"/>
    <tableColumn name="Column1953" id="1972"/>
    <tableColumn name="Column1954" id="1973"/>
    <tableColumn name="Column1955" id="1974"/>
    <tableColumn name="Column1956" id="1975"/>
    <tableColumn name="Column1957" id="1976"/>
    <tableColumn name="Column1958" id="1977"/>
    <tableColumn name="Column1959" id="1978"/>
    <tableColumn name="Column1960" id="1979"/>
    <tableColumn name="Column1961" id="1980"/>
    <tableColumn name="Column1962" id="1981"/>
    <tableColumn name="Column1963" id="1982"/>
    <tableColumn name="Column1964" id="1983"/>
    <tableColumn name="Column1965" id="1984"/>
    <tableColumn name="Column1966" id="1985"/>
    <tableColumn name="Column1967" id="1986"/>
    <tableColumn name="Column1968" id="1987"/>
    <tableColumn name="Column1969" id="1988"/>
    <tableColumn name="Column1970" id="1989"/>
    <tableColumn name="Column1971" id="1990"/>
    <tableColumn name="Column1972" id="1991"/>
    <tableColumn name="Column1973" id="1992"/>
    <tableColumn name="Column1974" id="1993"/>
    <tableColumn name="Column1975" id="1994"/>
    <tableColumn name="Column1976" id="1995"/>
    <tableColumn name="Column1977" id="1996"/>
    <tableColumn name="Column1978" id="1997"/>
    <tableColumn name="Column1979" id="1998"/>
    <tableColumn name="Column1980" id="1999"/>
    <tableColumn name="Column1981" id="2000"/>
    <tableColumn name="Column1982" id="2001"/>
    <tableColumn name="Column1983" id="2002"/>
    <tableColumn name="Column1984" id="2003"/>
    <tableColumn name="Column1985" id="2004"/>
    <tableColumn name="Column1986" id="2005"/>
    <tableColumn name="Column1987" id="2006"/>
    <tableColumn name="Column1988" id="2007"/>
    <tableColumn name="Column1989" id="2008"/>
    <tableColumn name="Column1990" id="2009"/>
    <tableColumn name="Column1991" id="2010"/>
    <tableColumn name="Column1992" id="2011"/>
    <tableColumn name="Column1993" id="2012"/>
    <tableColumn name="Column1994" id="2013"/>
    <tableColumn name="Column1995" id="2014"/>
    <tableColumn name="Column1996" id="2015"/>
    <tableColumn name="Column1997" id="2016"/>
    <tableColumn name="Column1998" id="2017"/>
    <tableColumn name="Column1999" id="2018"/>
    <tableColumn name="Column2000" id="2019"/>
    <tableColumn name="Column2001" id="2020"/>
    <tableColumn name="Column2002" id="2021"/>
    <tableColumn name="Column2003" id="2022"/>
    <tableColumn name="Column2004" id="2023"/>
    <tableColumn name="Column2005" id="2024"/>
    <tableColumn name="Column2006" id="2025"/>
    <tableColumn name="Column2007" id="2026"/>
    <tableColumn name="Column2008" id="2027"/>
    <tableColumn name="Column2009" id="2028"/>
    <tableColumn name="Column2010" id="2029"/>
    <tableColumn name="Column2011" id="2030"/>
    <tableColumn name="Column2012" id="2031"/>
    <tableColumn name="Column2013" id="2032"/>
    <tableColumn name="Column2014" id="2033"/>
    <tableColumn name="Column2015" id="2034"/>
    <tableColumn name="Column2016" id="2035"/>
    <tableColumn name="Column2017" id="2036"/>
    <tableColumn name="Column2018" id="2037"/>
    <tableColumn name="Column2019" id="2038"/>
    <tableColumn name="Column2020" id="2039"/>
    <tableColumn name="Column2021" id="2040"/>
    <tableColumn name="Column2022" id="2041"/>
    <tableColumn name="Column2023" id="2042"/>
    <tableColumn name="Column2024" id="2043"/>
    <tableColumn name="Column2025" id="2044"/>
    <tableColumn name="Column2026" id="2045"/>
    <tableColumn name="Column2027" id="2046"/>
    <tableColumn name="Column2028" id="2047"/>
    <tableColumn name="Column2029" id="2048"/>
    <tableColumn name="Column2030" id="2049"/>
    <tableColumn name="Column2031" id="2050"/>
    <tableColumn name="Column2032" id="2051"/>
    <tableColumn name="Column2033" id="2052"/>
    <tableColumn name="Column2034" id="2053"/>
    <tableColumn name="Column2035" id="2054"/>
    <tableColumn name="Column2036" id="2055"/>
    <tableColumn name="Column2037" id="2056"/>
    <tableColumn name="Column2038" id="2057"/>
    <tableColumn name="Column2039" id="2058"/>
    <tableColumn name="Column2040" id="2059"/>
    <tableColumn name="Column2041" id="2060"/>
    <tableColumn name="Column2042" id="2061"/>
    <tableColumn name="Column2043" id="2062"/>
    <tableColumn name="Column2044" id="2063"/>
    <tableColumn name="Column2045" id="2064"/>
    <tableColumn name="Column2046" id="2065"/>
    <tableColumn name="Column2047" id="2066"/>
    <tableColumn name="Column2048" id="2067"/>
    <tableColumn name="Column2049" id="2068"/>
    <tableColumn name="Column2050" id="2069"/>
    <tableColumn name="Column2051" id="2070"/>
    <tableColumn name="Column2052" id="2071"/>
    <tableColumn name="Column2053" id="2072"/>
    <tableColumn name="Column2054" id="2073"/>
    <tableColumn name="Column2055" id="2074"/>
    <tableColumn name="Column2056" id="2075"/>
    <tableColumn name="Column2057" id="2076"/>
    <tableColumn name="Column2058" id="2077"/>
    <tableColumn name="Column2059" id="2078"/>
    <tableColumn name="Column2060" id="2079"/>
    <tableColumn name="Column2061" id="2080"/>
    <tableColumn name="Column2062" id="2081"/>
    <tableColumn name="Column2063" id="2082"/>
    <tableColumn name="Column2064" id="2083"/>
    <tableColumn name="Column2065" id="2084"/>
    <tableColumn name="Column2066" id="2085"/>
    <tableColumn name="Column2067" id="2086"/>
    <tableColumn name="Column2068" id="2087"/>
    <tableColumn name="Column2069" id="2088"/>
    <tableColumn name="Column2070" id="2089"/>
    <tableColumn name="Column2071" id="2090"/>
    <tableColumn name="Column2072" id="2091"/>
    <tableColumn name="Column2073" id="2092"/>
    <tableColumn name="Column2074" id="2093"/>
    <tableColumn name="Column2075" id="2094"/>
    <tableColumn name="Column2076" id="2095"/>
    <tableColumn name="Column2077" id="2096"/>
    <tableColumn name="Column2078" id="2097"/>
    <tableColumn name="Column2079" id="2098"/>
    <tableColumn name="Column2080" id="2099"/>
    <tableColumn name="Column2081" id="2100"/>
    <tableColumn name="Column2082" id="2101"/>
    <tableColumn name="Column2083" id="2102"/>
    <tableColumn name="Column2084" id="2103"/>
    <tableColumn name="Column2085" id="2104"/>
    <tableColumn name="Column2086" id="2105"/>
    <tableColumn name="Column2087" id="2106"/>
    <tableColumn name="Column2088" id="2107"/>
    <tableColumn name="Column2089" id="2108"/>
    <tableColumn name="Column2090" id="2109"/>
    <tableColumn name="Column2091" id="2110"/>
    <tableColumn name="Column2092" id="2111"/>
    <tableColumn name="Column2093" id="2112"/>
    <tableColumn name="Column2094" id="2113"/>
    <tableColumn name="Column2095" id="2114"/>
    <tableColumn name="Column2096" id="2115"/>
    <tableColumn name="Column2097" id="2116"/>
    <tableColumn name="Column2098" id="2117"/>
    <tableColumn name="Column2099" id="2118"/>
    <tableColumn name="Column2100" id="2119"/>
    <tableColumn name="Column2101" id="2120"/>
    <tableColumn name="Column2102" id="2121"/>
    <tableColumn name="Column2103" id="2122"/>
    <tableColumn name="Column2104" id="2123"/>
    <tableColumn name="Column2105" id="2124"/>
    <tableColumn name="Column2106" id="2125"/>
    <tableColumn name="Column2107" id="2126"/>
    <tableColumn name="Column2108" id="2127"/>
    <tableColumn name="Column2109" id="2128"/>
    <tableColumn name="Column2110" id="2129"/>
    <tableColumn name="Column2111" id="2130"/>
    <tableColumn name="Column2112" id="2131"/>
    <tableColumn name="Column2113" id="2132"/>
    <tableColumn name="Column2114" id="2133"/>
    <tableColumn name="Column2115" id="2134"/>
    <tableColumn name="Column2116" id="2135"/>
    <tableColumn name="Column2117" id="2136"/>
    <tableColumn name="Column2118" id="2137"/>
    <tableColumn name="Column2119" id="2138"/>
    <tableColumn name="Column2120" id="2139"/>
    <tableColumn name="Column2121" id="2140"/>
    <tableColumn name="Column2122" id="2141"/>
    <tableColumn name="Column2123" id="2142"/>
    <tableColumn name="Column2124" id="2143"/>
    <tableColumn name="Column2125" id="2144"/>
    <tableColumn name="Column2126" id="2145"/>
    <tableColumn name="Column2127" id="2146"/>
    <tableColumn name="Column2128" id="2147"/>
    <tableColumn name="Column2129" id="2148"/>
    <tableColumn name="Column2130" id="2149"/>
    <tableColumn name="Column2131" id="2150"/>
    <tableColumn name="Column2132" id="2151"/>
    <tableColumn name="Column2133" id="2152"/>
    <tableColumn name="Column2134" id="2153"/>
    <tableColumn name="Column2135" id="2154"/>
    <tableColumn name="Column2136" id="2155"/>
    <tableColumn name="Column2137" id="2156"/>
    <tableColumn name="Column2138" id="2157"/>
    <tableColumn name="Column2139" id="2158"/>
    <tableColumn name="Column2140" id="2159"/>
    <tableColumn name="Column2141" id="2160"/>
    <tableColumn name="Column2142" id="2161"/>
    <tableColumn name="Column2143" id="2162"/>
    <tableColumn name="Column2144" id="2163"/>
    <tableColumn name="Column2145" id="2164"/>
    <tableColumn name="Column2146" id="2165"/>
    <tableColumn name="Column2147" id="2166"/>
    <tableColumn name="Column2148" id="2167"/>
    <tableColumn name="Column2149" id="2168"/>
    <tableColumn name="Column2150" id="2169"/>
    <tableColumn name="Column2151" id="2170"/>
    <tableColumn name="Column2152" id="2171"/>
    <tableColumn name="Column2153" id="2172"/>
    <tableColumn name="Column2154" id="2173"/>
    <tableColumn name="Column2155" id="2174"/>
    <tableColumn name="Column2156" id="2175"/>
    <tableColumn name="Column2157" id="2176"/>
    <tableColumn name="Column2158" id="2177"/>
    <tableColumn name="Column2159" id="2178"/>
    <tableColumn name="Column2160" id="2179"/>
    <tableColumn name="Column2161" id="2180"/>
    <tableColumn name="Column2162" id="2181"/>
    <tableColumn name="Column2163" id="2182"/>
    <tableColumn name="Column2164" id="2183"/>
    <tableColumn name="Column2165" id="2184"/>
    <tableColumn name="Column2166" id="2185"/>
    <tableColumn name="Column2167" id="2186"/>
    <tableColumn name="Column2168" id="2187"/>
    <tableColumn name="Column2169" id="2188"/>
    <tableColumn name="Column2170" id="2189"/>
    <tableColumn name="Column2171" id="2190"/>
    <tableColumn name="Column2172" id="2191"/>
    <tableColumn name="Column2173" id="2192"/>
    <tableColumn name="Column2174" id="2193"/>
    <tableColumn name="Column2175" id="2194"/>
    <tableColumn name="Column2176" id="2195"/>
    <tableColumn name="Column2177" id="2196"/>
    <tableColumn name="Column2178" id="2197"/>
    <tableColumn name="Column2179" id="2198"/>
    <tableColumn name="Column2180" id="2199"/>
    <tableColumn name="Column2181" id="2200"/>
    <tableColumn name="Column2182" id="2201"/>
    <tableColumn name="Column2183" id="2202"/>
    <tableColumn name="Column2184" id="2203"/>
    <tableColumn name="Column2185" id="2204"/>
    <tableColumn name="Column2186" id="2205"/>
    <tableColumn name="Column2187" id="2206"/>
    <tableColumn name="Column2188" id="2207"/>
    <tableColumn name="Column2189" id="2208"/>
    <tableColumn name="Column2190" id="2209"/>
    <tableColumn name="Column2191" id="2210"/>
    <tableColumn name="Column2192" id="2211"/>
    <tableColumn name="Column2193" id="2212"/>
    <tableColumn name="Column2194" id="2213"/>
    <tableColumn name="Column2195" id="2214"/>
    <tableColumn name="Column2196" id="2215"/>
    <tableColumn name="Column2197" id="2216"/>
    <tableColumn name="Column2198" id="2217"/>
    <tableColumn name="Column2199" id="2218"/>
    <tableColumn name="Column2200" id="2219"/>
    <tableColumn name="Column2201" id="2220"/>
    <tableColumn name="Column2202" id="2221"/>
    <tableColumn name="Column2203" id="2222"/>
    <tableColumn name="Column2204" id="2223"/>
    <tableColumn name="Column2205" id="2224"/>
    <tableColumn name="Column2206" id="2225"/>
    <tableColumn name="Column2207" id="2226"/>
    <tableColumn name="Column2208" id="2227"/>
    <tableColumn name="Column2209" id="2228"/>
    <tableColumn name="Column2210" id="2229"/>
    <tableColumn name="Column2211" id="2230"/>
    <tableColumn name="Column2212" id="2231"/>
    <tableColumn name="Column2213" id="2232"/>
    <tableColumn name="Column2214" id="2233"/>
    <tableColumn name="Column2215" id="2234"/>
    <tableColumn name="Column2216" id="2235"/>
    <tableColumn name="Column2217" id="2236"/>
    <tableColumn name="Column2218" id="2237"/>
    <tableColumn name="Column2219" id="2238"/>
    <tableColumn name="Column2220" id="2239"/>
    <tableColumn name="Column2221" id="2240"/>
    <tableColumn name="Column2222" id="2241"/>
    <tableColumn name="Column2223" id="2242"/>
    <tableColumn name="Column2224" id="2243"/>
    <tableColumn name="Column2225" id="2244"/>
    <tableColumn name="Column2226" id="2245"/>
    <tableColumn name="Column2227" id="2246"/>
    <tableColumn name="Column2228" id="2247"/>
    <tableColumn name="Column2229" id="2248"/>
    <tableColumn name="Column2230" id="2249"/>
    <tableColumn name="Column2231" id="2250"/>
    <tableColumn name="Column2232" id="2251"/>
    <tableColumn name="Column2233" id="2252"/>
    <tableColumn name="Column2234" id="2253"/>
    <tableColumn name="Column2235" id="2254"/>
    <tableColumn name="Column2236" id="2255"/>
    <tableColumn name="Column2237" id="2256"/>
    <tableColumn name="Column2238" id="2257"/>
    <tableColumn name="Column2239" id="2258"/>
    <tableColumn name="Column2240" id="2259"/>
    <tableColumn name="Column2241" id="2260"/>
    <tableColumn name="Column2242" id="2261"/>
    <tableColumn name="Column2243" id="2262"/>
    <tableColumn name="Column2244" id="2263"/>
    <tableColumn name="Column2245" id="2264"/>
    <tableColumn name="Column2246" id="2265"/>
    <tableColumn name="Column2247" id="2266"/>
    <tableColumn name="Column2248" id="2267"/>
    <tableColumn name="Column2249" id="2268"/>
    <tableColumn name="Column2250" id="2269"/>
    <tableColumn name="Column2251" id="2270"/>
    <tableColumn name="Column2252" id="2271"/>
    <tableColumn name="Column2253" id="2272"/>
    <tableColumn name="Column2254" id="2273"/>
    <tableColumn name="Column2255" id="2274"/>
    <tableColumn name="Column2256" id="2275"/>
    <tableColumn name="Column2257" id="2276"/>
    <tableColumn name="Column2258" id="2277"/>
    <tableColumn name="Column2259" id="2278"/>
    <tableColumn name="Column2260" id="2279"/>
    <tableColumn name="Column2261" id="2280"/>
    <tableColumn name="Column2262" id="2281"/>
    <tableColumn name="Column2263" id="2282"/>
    <tableColumn name="Column2264" id="2283"/>
    <tableColumn name="Column2265" id="2284"/>
    <tableColumn name="Column2266" id="2285"/>
    <tableColumn name="Column2267" id="2286"/>
    <tableColumn name="Column2268" id="2287"/>
    <tableColumn name="Column2269" id="2288"/>
    <tableColumn name="Column2270" id="2289"/>
    <tableColumn name="Column2271" id="2290"/>
    <tableColumn name="Column2272" id="2291"/>
    <tableColumn name="Column2273" id="2292"/>
    <tableColumn name="Column2274" id="2293"/>
    <tableColumn name="Column2275" id="2294"/>
    <tableColumn name="Column2276" id="2295"/>
    <tableColumn name="Column2277" id="2296"/>
    <tableColumn name="Column2278" id="2297"/>
    <tableColumn name="Column2279" id="2298"/>
    <tableColumn name="Column2280" id="2299"/>
    <tableColumn name="Column2281" id="2300"/>
    <tableColumn name="Column2282" id="2301"/>
    <tableColumn name="Column2283" id="2302"/>
    <tableColumn name="Column2284" id="2303"/>
    <tableColumn name="Column2285" id="2304"/>
    <tableColumn name="Column2286" id="2305"/>
    <tableColumn name="Column2287" id="2306"/>
    <tableColumn name="Column2288" id="2307"/>
    <tableColumn name="Column2289" id="2308"/>
    <tableColumn name="Column2290" id="2309"/>
    <tableColumn name="Column2291" id="2310"/>
    <tableColumn name="Column2292" id="2311"/>
    <tableColumn name="Column2293" id="2312"/>
    <tableColumn name="Column2294" id="2313"/>
    <tableColumn name="Column2295" id="2314"/>
    <tableColumn name="Column2296" id="2315"/>
    <tableColumn name="Column2297" id="2316"/>
    <tableColumn name="Column2298" id="2317"/>
    <tableColumn name="Column2299" id="2318"/>
    <tableColumn name="Column2300" id="2319"/>
    <tableColumn name="Column2301" id="2320"/>
    <tableColumn name="Column2302" id="2321"/>
    <tableColumn name="Column2303" id="2322"/>
    <tableColumn name="Column2304" id="2323"/>
    <tableColumn name="Column2305" id="2324"/>
    <tableColumn name="Column2306" id="2325"/>
    <tableColumn name="Column2307" id="2326"/>
    <tableColumn name="Column2308" id="2327"/>
    <tableColumn name="Column2309" id="2328"/>
    <tableColumn name="Column2310" id="2329"/>
    <tableColumn name="Column2311" id="2330"/>
    <tableColumn name="Column2312" id="2331"/>
    <tableColumn name="Column2313" id="2332"/>
    <tableColumn name="Column2314" id="2333"/>
    <tableColumn name="Column2315" id="2334"/>
    <tableColumn name="Column2316" id="2335"/>
    <tableColumn name="Column2317" id="2336"/>
    <tableColumn name="Column2318" id="2337"/>
    <tableColumn name="Column2319" id="2338"/>
    <tableColumn name="Column2320" id="2339"/>
    <tableColumn name="Column2321" id="2340"/>
    <tableColumn name="Column2322" id="2341"/>
    <tableColumn name="Column2323" id="2342"/>
    <tableColumn name="Column2324" id="2343"/>
    <tableColumn name="Column2325" id="2344"/>
    <tableColumn name="Column2326" id="2345"/>
    <tableColumn name="Column2327" id="2346"/>
    <tableColumn name="Column2328" id="2347"/>
    <tableColumn name="Column2329" id="2348"/>
    <tableColumn name="Column2330" id="2349"/>
    <tableColumn name="Column2331" id="2350"/>
    <tableColumn name="Column2332" id="2351"/>
    <tableColumn name="Column2333" id="2352"/>
    <tableColumn name="Column2334" id="2353"/>
    <tableColumn name="Column2335" id="2354"/>
    <tableColumn name="Column2336" id="2355"/>
    <tableColumn name="Column2337" id="2356"/>
    <tableColumn name="Column2338" id="2357"/>
    <tableColumn name="Column2339" id="2358"/>
    <tableColumn name="Column2340" id="2359"/>
    <tableColumn name="Column2341" id="2360"/>
    <tableColumn name="Column2342" id="2361"/>
    <tableColumn name="Column2343" id="2362"/>
    <tableColumn name="Column2344" id="2363"/>
    <tableColumn name="Column2345" id="2364"/>
    <tableColumn name="Column2346" id="2365"/>
    <tableColumn name="Column2347" id="2366"/>
    <tableColumn name="Column2348" id="2367"/>
    <tableColumn name="Column2349" id="2368"/>
    <tableColumn name="Column2350" id="2369"/>
    <tableColumn name="Column2351" id="2370"/>
    <tableColumn name="Column2352" id="2371"/>
    <tableColumn name="Column2353" id="2372"/>
    <tableColumn name="Column2354" id="2373"/>
    <tableColumn name="Column2355" id="2374"/>
    <tableColumn name="Column2356" id="2375"/>
    <tableColumn name="Column2357" id="2376"/>
    <tableColumn name="Column2358" id="2377"/>
    <tableColumn name="Column2359" id="2378"/>
    <tableColumn name="Column2360" id="2379"/>
    <tableColumn name="Column2361" id="2380"/>
    <tableColumn name="Column2362" id="2381"/>
    <tableColumn name="Column2363" id="2382"/>
    <tableColumn name="Column2364" id="2383"/>
    <tableColumn name="Column2365" id="2384"/>
    <tableColumn name="Column2366" id="2385"/>
    <tableColumn name="Column2367" id="2386"/>
    <tableColumn name="Column2368" id="2387"/>
    <tableColumn name="Column2369" id="2388"/>
    <tableColumn name="Column2370" id="2389"/>
    <tableColumn name="Column2371" id="2390"/>
    <tableColumn name="Column2372" id="2391"/>
    <tableColumn name="Column2373" id="2392"/>
    <tableColumn name="Column2374" id="2393"/>
    <tableColumn name="Column2375" id="2394"/>
    <tableColumn name="Column2376" id="2395"/>
    <tableColumn name="Column2377" id="2396"/>
    <tableColumn name="Column2378" id="2397"/>
    <tableColumn name="Column2379" id="2398"/>
    <tableColumn name="Column2380" id="2399"/>
    <tableColumn name="Column2381" id="2400"/>
    <tableColumn name="Column2382" id="2401"/>
    <tableColumn name="Column2383" id="2402"/>
    <tableColumn name="Column2384" id="2403"/>
    <tableColumn name="Column2385" id="2404"/>
    <tableColumn name="Column2386" id="2405"/>
    <tableColumn name="Column2387" id="2406"/>
    <tableColumn name="Column2388" id="2407"/>
    <tableColumn name="Column2389" id="2408"/>
    <tableColumn name="Column2390" id="2409"/>
    <tableColumn name="Column2391" id="2410"/>
    <tableColumn name="Column2392" id="2411"/>
    <tableColumn name="Column2393" id="2412"/>
    <tableColumn name="Column2394" id="2413"/>
    <tableColumn name="Column2395" id="2414"/>
    <tableColumn name="Column2396" id="2415"/>
    <tableColumn name="Column2397" id="2416"/>
    <tableColumn name="Column2398" id="2417"/>
    <tableColumn name="Column2399" id="2418"/>
    <tableColumn name="Column2400" id="2419"/>
    <tableColumn name="Column2401" id="2420"/>
    <tableColumn name="Column2402" id="2421"/>
    <tableColumn name="Column2403" id="2422"/>
    <tableColumn name="Column2404" id="2423"/>
    <tableColumn name="Column2405" id="2424"/>
    <tableColumn name="Column2406" id="2425"/>
    <tableColumn name="Column2407" id="2426"/>
    <tableColumn name="Column2408" id="2427"/>
    <tableColumn name="Column2409" id="2428"/>
    <tableColumn name="Column2410" id="2429"/>
    <tableColumn name="Column2411" id="2430"/>
    <tableColumn name="Column2412" id="2431"/>
    <tableColumn name="Column2413" id="2432"/>
    <tableColumn name="Column2414" id="2433"/>
    <tableColumn name="Column2415" id="2434"/>
    <tableColumn name="Column2416" id="2435"/>
    <tableColumn name="Column2417" id="2436"/>
    <tableColumn name="Column2418" id="2437"/>
    <tableColumn name="Column2419" id="2438"/>
    <tableColumn name="Column2420" id="2439"/>
    <tableColumn name="Column2421" id="2440"/>
    <tableColumn name="Column2422" id="2441"/>
    <tableColumn name="Column2423" id="2442"/>
    <tableColumn name="Column2424" id="2443"/>
    <tableColumn name="Column2425" id="2444"/>
    <tableColumn name="Column2426" id="2445"/>
    <tableColumn name="Column2427" id="2446"/>
    <tableColumn name="Column2428" id="2447"/>
    <tableColumn name="Column2429" id="2448"/>
    <tableColumn name="Column2430" id="2449"/>
    <tableColumn name="Column2431" id="2450"/>
    <tableColumn name="Column2432" id="2451"/>
    <tableColumn name="Column2433" id="2452"/>
    <tableColumn name="Column2434" id="2453"/>
    <tableColumn name="Column2435" id="2454"/>
    <tableColumn name="Column2436" id="2455"/>
    <tableColumn name="Column2437" id="2456"/>
    <tableColumn name="Column2438" id="2457"/>
    <tableColumn name="Column2439" id="2458"/>
    <tableColumn name="Column2440" id="2459"/>
    <tableColumn name="Column2441" id="2460"/>
    <tableColumn name="Column2442" id="2461"/>
    <tableColumn name="Column2443" id="2462"/>
    <tableColumn name="Column2444" id="2463"/>
    <tableColumn name="Column2445" id="2464"/>
    <tableColumn name="Column2446" id="2465"/>
    <tableColumn name="Column2447" id="2466"/>
    <tableColumn name="Column2448" id="2467"/>
    <tableColumn name="Column2449" id="2468"/>
    <tableColumn name="Column2450" id="2469"/>
    <tableColumn name="Column2451" id="2470"/>
    <tableColumn name="Column2452" id="2471"/>
    <tableColumn name="Column2453" id="2472"/>
    <tableColumn name="Column2454" id="2473"/>
    <tableColumn name="Column2455" id="2474"/>
    <tableColumn name="Column2456" id="2475"/>
    <tableColumn name="Column2457" id="2476"/>
    <tableColumn name="Column2458" id="2477"/>
    <tableColumn name="Column2459" id="2478"/>
    <tableColumn name="Column2460" id="2479"/>
    <tableColumn name="Column2461" id="2480"/>
    <tableColumn name="Column2462" id="2481"/>
    <tableColumn name="Column2463" id="2482"/>
    <tableColumn name="Column2464" id="2483"/>
    <tableColumn name="Column2465" id="2484"/>
    <tableColumn name="Column2466" id="2485"/>
    <tableColumn name="Column2467" id="2486"/>
    <tableColumn name="Column2468" id="2487"/>
    <tableColumn name="Column2469" id="2488"/>
    <tableColumn name="Column2470" id="2489"/>
    <tableColumn name="Column2471" id="2490"/>
    <tableColumn name="Column2472" id="2491"/>
    <tableColumn name="Column2473" id="2492"/>
    <tableColumn name="Column2474" id="2493"/>
    <tableColumn name="Column2475" id="2494"/>
    <tableColumn name="Column2476" id="2495"/>
    <tableColumn name="Column2477" id="2496"/>
    <tableColumn name="Column2478" id="2497"/>
    <tableColumn name="Column2479" id="2498"/>
    <tableColumn name="Column2480" id="2499"/>
    <tableColumn name="Column2481" id="2500"/>
    <tableColumn name="Column2482" id="2501"/>
    <tableColumn name="Column2483" id="2502"/>
    <tableColumn name="Column2484" id="2503"/>
    <tableColumn name="Column2485" id="2504"/>
    <tableColumn name="Column2486" id="2505"/>
    <tableColumn name="Column2487" id="2506"/>
    <tableColumn name="Column2488" id="2507"/>
    <tableColumn name="Column2489" id="2508"/>
    <tableColumn name="Column2490" id="2509"/>
    <tableColumn name="Column2491" id="2510"/>
    <tableColumn name="Column2492" id="2511"/>
    <tableColumn name="Column2493" id="2512"/>
    <tableColumn name="Column2494" id="2513"/>
    <tableColumn name="Column2495" id="2514"/>
    <tableColumn name="Column2496" id="2515"/>
    <tableColumn name="Column2497" id="2516"/>
    <tableColumn name="Column2498" id="2517"/>
    <tableColumn name="Column2499" id="2518"/>
    <tableColumn name="Column2500" id="2519"/>
    <tableColumn name="Column2501" id="2520"/>
    <tableColumn name="Column2502" id="2521"/>
    <tableColumn name="Column2503" id="2522"/>
    <tableColumn name="Column2504" id="2523"/>
    <tableColumn name="Column2505" id="2524"/>
    <tableColumn name="Column2506" id="2525"/>
    <tableColumn name="Column2507" id="2526"/>
    <tableColumn name="Column2508" id="2527"/>
    <tableColumn name="Column2509" id="2528"/>
    <tableColumn name="Column2510" id="2529"/>
    <tableColumn name="Column2511" id="2530"/>
    <tableColumn name="Column2512" id="2531"/>
    <tableColumn name="Column2513" id="2532"/>
    <tableColumn name="Column2514" id="2533"/>
    <tableColumn name="Column2515" id="2534"/>
    <tableColumn name="Column2516" id="2535"/>
    <tableColumn name="Column2517" id="2536"/>
    <tableColumn name="Column2518" id="2537"/>
    <tableColumn name="Column2519" id="2538"/>
    <tableColumn name="Column2520" id="2539"/>
    <tableColumn name="Column2521" id="2540"/>
    <tableColumn name="Column2522" id="2541"/>
    <tableColumn name="Column2523" id="2542"/>
    <tableColumn name="Column2524" id="2543"/>
    <tableColumn name="Column2525" id="2544"/>
    <tableColumn name="Column2526" id="2545"/>
    <tableColumn name="Column2527" id="2546"/>
    <tableColumn name="Column2528" id="2547"/>
    <tableColumn name="Column2529" id="2548"/>
    <tableColumn name="Column2530" id="2549"/>
    <tableColumn name="Column2531" id="2550"/>
    <tableColumn name="Column2532" id="2551"/>
    <tableColumn name="Column2533" id="2552"/>
    <tableColumn name="Column2534" id="2553"/>
    <tableColumn name="Column2535" id="2554"/>
    <tableColumn name="Column2536" id="2555"/>
    <tableColumn name="Column2537" id="2556"/>
    <tableColumn name="Column2538" id="2557"/>
    <tableColumn name="Column2539" id="2558"/>
    <tableColumn name="Column2540" id="2559"/>
    <tableColumn name="Column2541" id="2560"/>
    <tableColumn name="Column2542" id="2561"/>
    <tableColumn name="Column2543" id="2562"/>
    <tableColumn name="Column2544" id="2563"/>
    <tableColumn name="Column2545" id="2564"/>
    <tableColumn name="Column2546" id="2565"/>
    <tableColumn name="Column2547" id="2566"/>
    <tableColumn name="Column2548" id="2567"/>
    <tableColumn name="Column2549" id="2568"/>
    <tableColumn name="Column2550" id="2569"/>
    <tableColumn name="Column2551" id="2570"/>
    <tableColumn name="Column2552" id="2571"/>
    <tableColumn name="Column2553" id="2572"/>
    <tableColumn name="Column2554" id="2573"/>
    <tableColumn name="Column2555" id="2574"/>
    <tableColumn name="Column2556" id="2575"/>
    <tableColumn name="Column2557" id="2576"/>
    <tableColumn name="Column2558" id="2577"/>
    <tableColumn name="Column2559" id="2578"/>
    <tableColumn name="Column2560" id="2579"/>
    <tableColumn name="Column2561" id="2580"/>
    <tableColumn name="Column2562" id="2581"/>
    <tableColumn name="Column2563" id="2582"/>
    <tableColumn name="Column2564" id="2583"/>
    <tableColumn name="Column2565" id="2584"/>
    <tableColumn name="Column2566" id="2585"/>
    <tableColumn name="Column2567" id="2586"/>
    <tableColumn name="Column2568" id="2587"/>
    <tableColumn name="Column2569" id="2588"/>
    <tableColumn name="Column2570" id="2589"/>
    <tableColumn name="Column2571" id="2590"/>
    <tableColumn name="Column2572" id="2591"/>
    <tableColumn name="Column2573" id="2592"/>
    <tableColumn name="Column2574" id="2593"/>
    <tableColumn name="Column2575" id="2594"/>
    <tableColumn name="Column2576" id="2595"/>
    <tableColumn name="Column2577" id="2596"/>
    <tableColumn name="Column2578" id="2597"/>
    <tableColumn name="Column2579" id="2598"/>
    <tableColumn name="Column2580" id="2599"/>
    <tableColumn name="Column2581" id="2600"/>
    <tableColumn name="Column2582" id="2601"/>
    <tableColumn name="Column2583" id="2602"/>
    <tableColumn name="Column2584" id="2603"/>
    <tableColumn name="Column2585" id="2604"/>
    <tableColumn name="Column2586" id="2605"/>
    <tableColumn name="Column2587" id="2606"/>
    <tableColumn name="Column2588" id="2607"/>
    <tableColumn name="Column2589" id="2608"/>
    <tableColumn name="Column2590" id="2609"/>
    <tableColumn name="Column2591" id="2610"/>
    <tableColumn name="Column2592" id="2611"/>
    <tableColumn name="Column2593" id="2612"/>
    <tableColumn name="Column2594" id="2613"/>
    <tableColumn name="Column2595" id="2614"/>
    <tableColumn name="Column2596" id="2615"/>
    <tableColumn name="Column2597" id="2616"/>
    <tableColumn name="Column2598" id="2617"/>
    <tableColumn name="Column2599" id="2618"/>
    <tableColumn name="Column2600" id="2619"/>
    <tableColumn name="Column2601" id="2620"/>
    <tableColumn name="Column2602" id="2621"/>
    <tableColumn name="Column2603" id="2622"/>
    <tableColumn name="Column2604" id="2623"/>
    <tableColumn name="Column2605" id="2624"/>
    <tableColumn name="Column2606" id="2625"/>
    <tableColumn name="Column2607" id="2626"/>
    <tableColumn name="Column2608" id="2627"/>
    <tableColumn name="Column2609" id="2628"/>
    <tableColumn name="Column2610" id="2629"/>
    <tableColumn name="Column2611" id="2630"/>
    <tableColumn name="Column2612" id="2631"/>
    <tableColumn name="Column2613" id="2632"/>
    <tableColumn name="Column2614" id="2633"/>
    <tableColumn name="Column2615" id="2634"/>
    <tableColumn name="Column2616" id="2635"/>
    <tableColumn name="Column2617" id="2636"/>
    <tableColumn name="Column2618" id="2637"/>
    <tableColumn name="Column2619" id="2638"/>
    <tableColumn name="Column2620" id="2639"/>
    <tableColumn name="Column2621" id="2640"/>
    <tableColumn name="Column2622" id="2641"/>
    <tableColumn name="Column2623" id="2642"/>
    <tableColumn name="Column2624" id="2643"/>
    <tableColumn name="Column2625" id="2644"/>
    <tableColumn name="Column2626" id="2645"/>
    <tableColumn name="Column2627" id="2646"/>
    <tableColumn name="Column2628" id="2647"/>
    <tableColumn name="Column2629" id="2648"/>
    <tableColumn name="Column2630" id="2649"/>
    <tableColumn name="Column2631" id="2650"/>
    <tableColumn name="Column2632" id="2651"/>
    <tableColumn name="Column2633" id="2652"/>
    <tableColumn name="Column2634" id="2653"/>
    <tableColumn name="Column2635" id="2654"/>
    <tableColumn name="Column2636" id="2655"/>
    <tableColumn name="Column2637" id="2656"/>
    <tableColumn name="Column2638" id="2657"/>
    <tableColumn name="Column2639" id="2658"/>
    <tableColumn name="Column2640" id="2659"/>
    <tableColumn name="Column2641" id="2660"/>
    <tableColumn name="Column2642" id="2661"/>
    <tableColumn name="Column2643" id="2662"/>
    <tableColumn name="Column2644" id="2663"/>
    <tableColumn name="Column2645" id="2664"/>
    <tableColumn name="Column2646" id="2665"/>
    <tableColumn name="Column2647" id="2666"/>
    <tableColumn name="Column2648" id="2667"/>
    <tableColumn name="Column2649" id="2668"/>
    <tableColumn name="Column2650" id="2669"/>
    <tableColumn name="Column2651" id="2670"/>
    <tableColumn name="Column2652" id="2671"/>
    <tableColumn name="Column2653" id="2672"/>
    <tableColumn name="Column2654" id="2673"/>
    <tableColumn name="Column2655" id="2674"/>
    <tableColumn name="Column2656" id="2675"/>
    <tableColumn name="Column2657" id="2676"/>
    <tableColumn name="Column2658" id="2677"/>
    <tableColumn name="Column2659" id="2678"/>
    <tableColumn name="Column2660" id="2679"/>
    <tableColumn name="Column2661" id="2680"/>
    <tableColumn name="Column2662" id="2681"/>
    <tableColumn name="Column2663" id="2682"/>
    <tableColumn name="Column2664" id="2683"/>
    <tableColumn name="Column2665" id="2684"/>
    <tableColumn name="Column2666" id="2685"/>
    <tableColumn name="Column2667" id="2686"/>
    <tableColumn name="Column2668" id="2687"/>
    <tableColumn name="Column2669" id="2688"/>
    <tableColumn name="Column2670" id="2689"/>
    <tableColumn name="Column2671" id="2690"/>
    <tableColumn name="Column2672" id="2691"/>
    <tableColumn name="Column2673" id="2692"/>
    <tableColumn name="Column2674" id="2693"/>
    <tableColumn name="Column2675" id="2694"/>
    <tableColumn name="Column2676" id="2695"/>
    <tableColumn name="Column2677" id="2696"/>
    <tableColumn name="Column2678" id="2697"/>
    <tableColumn name="Column2679" id="2698"/>
    <tableColumn name="Column2680" id="2699"/>
    <tableColumn name="Column2681" id="2700"/>
    <tableColumn name="Column2682" id="2701"/>
    <tableColumn name="Column2683" id="2702"/>
    <tableColumn name="Column2684" id="2703"/>
    <tableColumn name="Column2685" id="2704"/>
    <tableColumn name="Column2686" id="2705"/>
    <tableColumn name="Column2687" id="2706"/>
    <tableColumn name="Column2688" id="2707"/>
    <tableColumn name="Column2689" id="2708"/>
    <tableColumn name="Column2690" id="2709"/>
    <tableColumn name="Column2691" id="2710"/>
    <tableColumn name="Column2692" id="2711"/>
    <tableColumn name="Column2693" id="2712"/>
    <tableColumn name="Column2694" id="2713"/>
    <tableColumn name="Column2695" id="2714"/>
    <tableColumn name="Column2696" id="2715"/>
    <tableColumn name="Column2697" id="2716"/>
    <tableColumn name="Column2698" id="2717"/>
    <tableColumn name="Column2699" id="2718"/>
    <tableColumn name="Column2700" id="2719"/>
    <tableColumn name="Column2701" id="2720"/>
    <tableColumn name="Column2702" id="2721"/>
    <tableColumn name="Column2703" id="2722"/>
    <tableColumn name="Column2704" id="2723"/>
    <tableColumn name="Column2705" id="2724"/>
    <tableColumn name="Column2706" id="2725"/>
    <tableColumn name="Column2707" id="2726"/>
    <tableColumn name="Column2708" id="2727"/>
    <tableColumn name="Column2709" id="2728"/>
    <tableColumn name="Column2710" id="2729"/>
    <tableColumn name="Column2711" id="2730"/>
    <tableColumn name="Column2712" id="2731"/>
    <tableColumn name="Column2713" id="2732"/>
    <tableColumn name="Column2714" id="2733"/>
    <tableColumn name="Column2715" id="2734"/>
    <tableColumn name="Column2716" id="2735"/>
    <tableColumn name="Column2717" id="2736"/>
    <tableColumn name="Column2718" id="2737"/>
    <tableColumn name="Column2719" id="2738"/>
    <tableColumn name="Column2720" id="2739"/>
    <tableColumn name="Column2721" id="2740"/>
    <tableColumn name="Column2722" id="2741"/>
    <tableColumn name="Column2723" id="2742"/>
    <tableColumn name="Column2724" id="2743"/>
    <tableColumn name="Column2725" id="2744"/>
    <tableColumn name="Column2726" id="2745"/>
    <tableColumn name="Column2727" id="2746"/>
    <tableColumn name="Column2728" id="2747"/>
    <tableColumn name="Column2729" id="2748"/>
    <tableColumn name="Column2730" id="2749"/>
    <tableColumn name="Column2731" id="2750"/>
    <tableColumn name="Column2732" id="2751"/>
    <tableColumn name="Column2733" id="2752"/>
    <tableColumn name="Column2734" id="2753"/>
    <tableColumn name="Column2735" id="2754"/>
    <tableColumn name="Column2736" id="2755"/>
    <tableColumn name="Column2737" id="2756"/>
    <tableColumn name="Column2738" id="2757"/>
    <tableColumn name="Column2739" id="2758"/>
    <tableColumn name="Column2740" id="2759"/>
    <tableColumn name="Column2741" id="2760"/>
    <tableColumn name="Column2742" id="2761"/>
    <tableColumn name="Column2743" id="2762"/>
    <tableColumn name="Column2744" id="2763"/>
    <tableColumn name="Column2745" id="2764"/>
    <tableColumn name="Column2746" id="2765"/>
    <tableColumn name="Column2747" id="2766"/>
    <tableColumn name="Column2748" id="2767"/>
    <tableColumn name="Column2749" id="2768"/>
    <tableColumn name="Column2750" id="2769"/>
    <tableColumn name="Column2751" id="2770"/>
    <tableColumn name="Column2752" id="2771"/>
    <tableColumn name="Column2753" id="2772"/>
    <tableColumn name="Column2754" id="2773"/>
    <tableColumn name="Column2755" id="2774"/>
    <tableColumn name="Column2756" id="2775"/>
    <tableColumn name="Column2757" id="2776"/>
    <tableColumn name="Column2758" id="2777"/>
    <tableColumn name="Column2759" id="2778"/>
    <tableColumn name="Column2760" id="2779"/>
    <tableColumn name="Column2761" id="2780"/>
    <tableColumn name="Column2762" id="2781"/>
    <tableColumn name="Column2763" id="2782"/>
    <tableColumn name="Column2764" id="2783"/>
    <tableColumn name="Column2765" id="2784"/>
    <tableColumn name="Column2766" id="2785"/>
    <tableColumn name="Column2767" id="2786"/>
    <tableColumn name="Column2768" id="2787"/>
    <tableColumn name="Column2769" id="2788"/>
    <tableColumn name="Column2770" id="2789"/>
    <tableColumn name="Column2771" id="2790"/>
    <tableColumn name="Column2772" id="2791"/>
    <tableColumn name="Column2773" id="2792"/>
    <tableColumn name="Column2774" id="2793"/>
    <tableColumn name="Column2775" id="2794"/>
    <tableColumn name="Column2776" id="2795"/>
    <tableColumn name="Column2777" id="2796"/>
    <tableColumn name="Column2778" id="2797"/>
    <tableColumn name="Column2779" id="2798"/>
    <tableColumn name="Column2780" id="2799"/>
    <tableColumn name="Column2781" id="2800"/>
    <tableColumn name="Column2782" id="2801"/>
    <tableColumn name="Column2783" id="2802"/>
    <tableColumn name="Column2784" id="2803"/>
    <tableColumn name="Column2785" id="2804"/>
    <tableColumn name="Column2786" id="2805"/>
    <tableColumn name="Column2787" id="2806"/>
    <tableColumn name="Column2788" id="2807"/>
    <tableColumn name="Column2789" id="2808"/>
    <tableColumn name="Column2790" id="2809"/>
    <tableColumn name="Column2791" id="2810"/>
    <tableColumn name="Column2792" id="2811"/>
    <tableColumn name="Column2793" id="2812"/>
    <tableColumn name="Column2794" id="2813"/>
    <tableColumn name="Column2795" id="2814"/>
    <tableColumn name="Column2796" id="2815"/>
    <tableColumn name="Column2797" id="2816"/>
    <tableColumn name="Column2798" id="2817"/>
    <tableColumn name="Column2799" id="2818"/>
    <tableColumn name="Column2800" id="2819"/>
    <tableColumn name="Column2801" id="2820"/>
    <tableColumn name="Column2802" id="2821"/>
    <tableColumn name="Column2803" id="2822"/>
    <tableColumn name="Column2804" id="2823"/>
    <tableColumn name="Column2805" id="2824"/>
    <tableColumn name="Column2806" id="2825"/>
    <tableColumn name="Column2807" id="2826"/>
    <tableColumn name="Column2808" id="2827"/>
    <tableColumn name="Column2809" id="2828"/>
    <tableColumn name="Column2810" id="2829"/>
    <tableColumn name="Column2811" id="2830"/>
    <tableColumn name="Column2812" id="2831"/>
    <tableColumn name="Column2813" id="2832"/>
    <tableColumn name="Column2814" id="2833"/>
    <tableColumn name="Column2815" id="2834"/>
    <tableColumn name="Column2816" id="2835"/>
    <tableColumn name="Column2817" id="2836"/>
    <tableColumn name="Column2818" id="2837"/>
    <tableColumn name="Column2819" id="2838"/>
    <tableColumn name="Column2820" id="2839"/>
    <tableColumn name="Column2821" id="2840"/>
    <tableColumn name="Column2822" id="2841"/>
    <tableColumn name="Column2823" id="2842"/>
    <tableColumn name="Column2824" id="2843"/>
    <tableColumn name="Column2825" id="2844"/>
    <tableColumn name="Column2826" id="2845"/>
    <tableColumn name="Column2827" id="2846"/>
    <tableColumn name="Column2828" id="2847"/>
    <tableColumn name="Column2829" id="2848"/>
    <tableColumn name="Column2830" id="2849"/>
    <tableColumn name="Column2831" id="2850"/>
    <tableColumn name="Column2832" id="2851"/>
    <tableColumn name="Column2833" id="2852"/>
    <tableColumn name="Column2834" id="2853"/>
    <tableColumn name="Column2835" id="2854"/>
    <tableColumn name="Column2836" id="2855"/>
    <tableColumn name="Column2837" id="2856"/>
    <tableColumn name="Column2838" id="2857"/>
    <tableColumn name="Column2839" id="2858"/>
    <tableColumn name="Column2840" id="2859"/>
    <tableColumn name="Column2841" id="2860"/>
    <tableColumn name="Column2842" id="2861"/>
    <tableColumn name="Column2843" id="2862"/>
    <tableColumn name="Column2844" id="2863"/>
    <tableColumn name="Column2845" id="2864"/>
    <tableColumn name="Column2846" id="2865"/>
    <tableColumn name="Column2847" id="2866"/>
    <tableColumn name="Column2848" id="2867"/>
    <tableColumn name="Column2849" id="2868"/>
    <tableColumn name="Column2850" id="2869"/>
    <tableColumn name="Column2851" id="2870"/>
    <tableColumn name="Column2852" id="2871"/>
    <tableColumn name="Column2853" id="2872"/>
    <tableColumn name="Column2854" id="2873"/>
    <tableColumn name="Column2855" id="2874"/>
    <tableColumn name="Column2856" id="2875"/>
    <tableColumn name="Column2857" id="2876"/>
    <tableColumn name="Column2858" id="2877"/>
    <tableColumn name="Column2859" id="2878"/>
    <tableColumn name="Column2860" id="2879"/>
    <tableColumn name="Column2861" id="2880"/>
    <tableColumn name="Column2862" id="2881"/>
    <tableColumn name="Column2863" id="2882"/>
    <tableColumn name="Column2864" id="2883"/>
    <tableColumn name="Column2865" id="2884"/>
    <tableColumn name="Column2866" id="2885"/>
    <tableColumn name="Column2867" id="2886"/>
    <tableColumn name="Column2868" id="2887"/>
    <tableColumn name="Column2869" id="2888"/>
    <tableColumn name="Column2870" id="2889"/>
    <tableColumn name="Column2871" id="2890"/>
    <tableColumn name="Column2872" id="2891"/>
    <tableColumn name="Column2873" id="2892"/>
    <tableColumn name="Column2874" id="2893"/>
    <tableColumn name="Column2875" id="2894"/>
    <tableColumn name="Column2876" id="2895"/>
    <tableColumn name="Column2877" id="2896"/>
    <tableColumn name="Column2878" id="2897"/>
    <tableColumn name="Column2879" id="2898"/>
    <tableColumn name="Column2880" id="2899"/>
    <tableColumn name="Column2881" id="2900"/>
    <tableColumn name="Column2882" id="2901"/>
    <tableColumn name="Column2883" id="2902"/>
    <tableColumn name="Column2884" id="2903"/>
    <tableColumn name="Column2885" id="2904"/>
    <tableColumn name="Column2886" id="2905"/>
    <tableColumn name="Column2887" id="2906"/>
    <tableColumn name="Column2888" id="2907"/>
    <tableColumn name="Column2889" id="2908"/>
    <tableColumn name="Column2890" id="2909"/>
    <tableColumn name="Column2891" id="2910"/>
    <tableColumn name="Column2892" id="2911"/>
    <tableColumn name="Column2893" id="2912"/>
    <tableColumn name="Column2894" id="2913"/>
    <tableColumn name="Column2895" id="2914"/>
    <tableColumn name="Column2896" id="2915"/>
    <tableColumn name="Column2897" id="2916"/>
    <tableColumn name="Column2898" id="2917"/>
    <tableColumn name="Column2899" id="2918"/>
    <tableColumn name="Column2900" id="2919"/>
    <tableColumn name="Column2901" id="2920"/>
    <tableColumn name="Column2902" id="2921"/>
    <tableColumn name="Column2903" id="2922"/>
    <tableColumn name="Column2904" id="2923"/>
    <tableColumn name="Column2905" id="2924"/>
    <tableColumn name="Column2906" id="2925"/>
    <tableColumn name="Column2907" id="2926"/>
    <tableColumn name="Column2908" id="2927"/>
    <tableColumn name="Column2909" id="2928"/>
    <tableColumn name="Column2910" id="2929"/>
    <tableColumn name="Column2911" id="2930"/>
    <tableColumn name="Column2912" id="2931"/>
    <tableColumn name="Column2913" id="2932"/>
    <tableColumn name="Column2914" id="2933"/>
    <tableColumn name="Column2915" id="2934"/>
    <tableColumn name="Column2916" id="2935"/>
    <tableColumn name="Column2917" id="2936"/>
    <tableColumn name="Column2918" id="2937"/>
    <tableColumn name="Column2919" id="2938"/>
    <tableColumn name="Column2920" id="2939"/>
    <tableColumn name="Column2921" id="2940"/>
    <tableColumn name="Column2922" id="2941"/>
    <tableColumn name="Column2923" id="2942"/>
    <tableColumn name="Column2924" id="2943"/>
    <tableColumn name="Column2925" id="2944"/>
    <tableColumn name="Column2926" id="2945"/>
    <tableColumn name="Column2927" id="2946"/>
    <tableColumn name="Column2928" id="2947"/>
    <tableColumn name="Column2929" id="2948"/>
    <tableColumn name="Column2930" id="2949"/>
    <tableColumn name="Column2931" id="2950"/>
    <tableColumn name="Column2932" id="2951"/>
    <tableColumn name="Column2933" id="2952"/>
    <tableColumn name="Column2934" id="2953"/>
    <tableColumn name="Column2935" id="2954"/>
    <tableColumn name="Column2936" id="2955"/>
    <tableColumn name="Column2937" id="2956"/>
    <tableColumn name="Column2938" id="2957"/>
    <tableColumn name="Column2939" id="2958"/>
    <tableColumn name="Column2940" id="2959"/>
    <tableColumn name="Column2941" id="2960"/>
    <tableColumn name="Column2942" id="2961"/>
    <tableColumn name="Column2943" id="2962"/>
    <tableColumn name="Column2944" id="2963"/>
    <tableColumn name="Column2945" id="2964"/>
    <tableColumn name="Column2946" id="2965"/>
    <tableColumn name="Column2947" id="2966"/>
    <tableColumn name="Column2948" id="2967"/>
    <tableColumn name="Column2949" id="2968"/>
    <tableColumn name="Column2950" id="2969"/>
    <tableColumn name="Column2951" id="2970"/>
    <tableColumn name="Column2952" id="2971"/>
    <tableColumn name="Column2953" id="2972"/>
    <tableColumn name="Column2954" id="2973"/>
    <tableColumn name="Column2955" id="2974"/>
    <tableColumn name="Column2956" id="2975"/>
    <tableColumn name="Column2957" id="2976"/>
    <tableColumn name="Column2958" id="2977"/>
    <tableColumn name="Column2959" id="2978"/>
    <tableColumn name="Column2960" id="2979"/>
    <tableColumn name="Column2961" id="2980"/>
    <tableColumn name="Column2962" id="2981"/>
    <tableColumn name="Column2963" id="2982"/>
    <tableColumn name="Column2964" id="2983"/>
    <tableColumn name="Column2965" id="2984"/>
    <tableColumn name="Column2966" id="2985"/>
    <tableColumn name="Column2967" id="2986"/>
    <tableColumn name="Column2968" id="2987"/>
    <tableColumn name="Column2969" id="2988"/>
    <tableColumn name="Column2970" id="2989"/>
    <tableColumn name="Column2971" id="2990"/>
    <tableColumn name="Column2972" id="2991"/>
    <tableColumn name="Column2973" id="2992"/>
    <tableColumn name="Column2974" id="2993"/>
    <tableColumn name="Column2975" id="2994"/>
    <tableColumn name="Column2976" id="2995"/>
    <tableColumn name="Column2977" id="2996"/>
    <tableColumn name="Column2978" id="2997"/>
    <tableColumn name="Column2979" id="2998"/>
    <tableColumn name="Column2980" id="2999"/>
    <tableColumn name="Column2981" id="3000"/>
    <tableColumn name="Column2982" id="3001"/>
    <tableColumn name="Column2983" id="3002"/>
    <tableColumn name="Column2984" id="3003"/>
    <tableColumn name="Column2985" id="3004"/>
    <tableColumn name="Column2986" id="3005"/>
    <tableColumn name="Column2987" id="3006"/>
    <tableColumn name="Column2988" id="3007"/>
    <tableColumn name="Column2989" id="3008"/>
    <tableColumn name="Column2990" id="3009"/>
    <tableColumn name="Column2991" id="3010"/>
    <tableColumn name="Column2992" id="3011"/>
    <tableColumn name="Column2993" id="3012"/>
    <tableColumn name="Column2994" id="3013"/>
    <tableColumn name="Column2995" id="3014"/>
    <tableColumn name="Column2996" id="3015"/>
    <tableColumn name="Column2997" id="3016"/>
    <tableColumn name="Column2998" id="3017"/>
    <tableColumn name="Column2999" id="3018"/>
    <tableColumn name="Column3000" id="3019"/>
    <tableColumn name="Column3001" id="3020"/>
    <tableColumn name="Column3002" id="3021"/>
    <tableColumn name="Column3003" id="3022"/>
    <tableColumn name="Column3004" id="3023"/>
    <tableColumn name="Column3005" id="3024"/>
    <tableColumn name="Column3006" id="3025"/>
    <tableColumn name="Column3007" id="3026"/>
    <tableColumn name="Column3008" id="3027"/>
    <tableColumn name="Column3009" id="3028"/>
    <tableColumn name="Column3010" id="3029"/>
    <tableColumn name="Column3011" id="3030"/>
    <tableColumn name="Column3012" id="3031"/>
    <tableColumn name="Column3013" id="3032"/>
    <tableColumn name="Column3014" id="3033"/>
    <tableColumn name="Column3015" id="3034"/>
    <tableColumn name="Column3016" id="3035"/>
    <tableColumn name="Column3017" id="3036"/>
    <tableColumn name="Column3018" id="3037"/>
    <tableColumn name="Column3019" id="3038"/>
    <tableColumn name="Column3020" id="3039"/>
    <tableColumn name="Column3021" id="3040"/>
    <tableColumn name="Column3022" id="3041"/>
    <tableColumn name="Column3023" id="3042"/>
    <tableColumn name="Column3024" id="3043"/>
    <tableColumn name="Column3025" id="3044"/>
    <tableColumn name="Column3026" id="3045"/>
    <tableColumn name="Column3027" id="3046"/>
    <tableColumn name="Column3028" id="3047"/>
    <tableColumn name="Column3029" id="3048"/>
    <tableColumn name="Column3030" id="3049"/>
    <tableColumn name="Column3031" id="3050"/>
    <tableColumn name="Column3032" id="3051"/>
    <tableColumn name="Column3033" id="3052"/>
    <tableColumn name="Column3034" id="3053"/>
    <tableColumn name="Column3035" id="3054"/>
    <tableColumn name="Column3036" id="3055"/>
    <tableColumn name="Column3037" id="3056"/>
    <tableColumn name="Column3038" id="3057"/>
    <tableColumn name="Column3039" id="3058"/>
    <tableColumn name="Column3040" id="3059"/>
    <tableColumn name="Column3041" id="3060"/>
    <tableColumn name="Column3042" id="3061"/>
    <tableColumn name="Column3043" id="3062"/>
    <tableColumn name="Column3044" id="3063"/>
    <tableColumn name="Column3045" id="3064"/>
    <tableColumn name="Column3046" id="3065"/>
    <tableColumn name="Column3047" id="3066"/>
    <tableColumn name="Column3048" id="3067"/>
    <tableColumn name="Column3049" id="3068"/>
    <tableColumn name="Column3050" id="3069"/>
    <tableColumn name="Column3051" id="3070"/>
    <tableColumn name="Column3052" id="3071"/>
    <tableColumn name="Column3053" id="3072"/>
    <tableColumn name="Column3054" id="3073"/>
    <tableColumn name="Column3055" id="3074"/>
    <tableColumn name="Column3056" id="3075"/>
    <tableColumn name="Column3057" id="3076"/>
    <tableColumn name="Column3058" id="3077"/>
    <tableColumn name="Column3059" id="3078"/>
    <tableColumn name="Column3060" id="3079"/>
    <tableColumn name="Column3061" id="3080"/>
    <tableColumn name="Column3062" id="3081"/>
    <tableColumn name="Column3063" id="3082"/>
    <tableColumn name="Column3064" id="3083"/>
    <tableColumn name="Column3065" id="3084"/>
    <tableColumn name="Column3066" id="3085"/>
    <tableColumn name="Column3067" id="3086"/>
    <tableColumn name="Column3068" id="3087"/>
    <tableColumn name="Column3069" id="3088"/>
    <tableColumn name="Column3070" id="3089"/>
    <tableColumn name="Column3071" id="3090"/>
    <tableColumn name="Column3072" id="3091"/>
    <tableColumn name="Column3073" id="3092"/>
    <tableColumn name="Column3074" id="3093"/>
    <tableColumn name="Column3075" id="3094"/>
    <tableColumn name="Column3076" id="3095"/>
    <tableColumn name="Column3077" id="3096"/>
    <tableColumn name="Column3078" id="3097"/>
    <tableColumn name="Column3079" id="3098"/>
    <tableColumn name="Column3080" id="3099"/>
    <tableColumn name="Column3081" id="3100"/>
    <tableColumn name="Column3082" id="3101"/>
    <tableColumn name="Column3083" id="3102"/>
    <tableColumn name="Column3084" id="3103"/>
    <tableColumn name="Column3085" id="3104"/>
    <tableColumn name="Column3086" id="3105"/>
    <tableColumn name="Column3087" id="3106"/>
    <tableColumn name="Column3088" id="3107"/>
    <tableColumn name="Column3089" id="3108"/>
    <tableColumn name="Column3090" id="3109"/>
    <tableColumn name="Column3091" id="3110"/>
    <tableColumn name="Column3092" id="3111"/>
    <tableColumn name="Column3093" id="3112"/>
    <tableColumn name="Column3094" id="3113"/>
    <tableColumn name="Column3095" id="3114"/>
    <tableColumn name="Column3096" id="3115"/>
    <tableColumn name="Column3097" id="3116"/>
    <tableColumn name="Column3098" id="3117"/>
    <tableColumn name="Column3099" id="3118"/>
    <tableColumn name="Column3100" id="3119"/>
    <tableColumn name="Column3101" id="3120"/>
    <tableColumn name="Column3102" id="3121"/>
    <tableColumn name="Column3103" id="3122"/>
    <tableColumn name="Column3104" id="3123"/>
    <tableColumn name="Column3105" id="3124"/>
    <tableColumn name="Column3106" id="3125"/>
    <tableColumn name="Column3107" id="3126"/>
    <tableColumn name="Column3108" id="3127"/>
    <tableColumn name="Column3109" id="3128"/>
    <tableColumn name="Column3110" id="3129"/>
    <tableColumn name="Column3111" id="3130"/>
    <tableColumn name="Column3112" id="3131"/>
    <tableColumn name="Column3113" id="3132"/>
    <tableColumn name="Column3114" id="3133"/>
    <tableColumn name="Column3115" id="3134"/>
    <tableColumn name="Column3116" id="3135"/>
    <tableColumn name="Column3117" id="3136"/>
    <tableColumn name="Column3118" id="3137"/>
    <tableColumn name="Column3119" id="3138"/>
    <tableColumn name="Column3120" id="3139"/>
    <tableColumn name="Column3121" id="3140"/>
    <tableColumn name="Column3122" id="3141"/>
    <tableColumn name="Column3123" id="3142"/>
    <tableColumn name="Column3124" id="3143"/>
    <tableColumn name="Column3125" id="3144"/>
    <tableColumn name="Column3126" id="3145"/>
    <tableColumn name="Column3127" id="3146"/>
    <tableColumn name="Column3128" id="3147"/>
    <tableColumn name="Column3129" id="3148"/>
    <tableColumn name="Column3130" id="3149"/>
    <tableColumn name="Column3131" id="3150"/>
    <tableColumn name="Column3132" id="3151"/>
    <tableColumn name="Column3133" id="3152"/>
    <tableColumn name="Column3134" id="3153"/>
    <tableColumn name="Column3135" id="3154"/>
    <tableColumn name="Column3136" id="3155"/>
    <tableColumn name="Column3137" id="3156"/>
    <tableColumn name="Column3138" id="3157"/>
    <tableColumn name="Column3139" id="3158"/>
    <tableColumn name="Column3140" id="3159"/>
    <tableColumn name="Column3141" id="3160"/>
    <tableColumn name="Column3142" id="3161"/>
    <tableColumn name="Column3143" id="3162"/>
    <tableColumn name="Column3144" id="3163"/>
    <tableColumn name="Column3145" id="3164"/>
    <tableColumn name="Column3146" id="3165"/>
    <tableColumn name="Column3147" id="3166"/>
    <tableColumn name="Column3148" id="3167"/>
    <tableColumn name="Column3149" id="3168"/>
    <tableColumn name="Column3150" id="3169"/>
    <tableColumn name="Column3151" id="3170"/>
    <tableColumn name="Column3152" id="3171"/>
    <tableColumn name="Column3153" id="3172"/>
    <tableColumn name="Column3154" id="3173"/>
    <tableColumn name="Column3155" id="3174"/>
    <tableColumn name="Column3156" id="3175"/>
    <tableColumn name="Column3157" id="3176"/>
    <tableColumn name="Column3158" id="3177"/>
    <tableColumn name="Column3159" id="3178"/>
    <tableColumn name="Column3160" id="3179"/>
    <tableColumn name="Column3161" id="3180"/>
    <tableColumn name="Column3162" id="3181"/>
    <tableColumn name="Column3163" id="3182"/>
    <tableColumn name="Column3164" id="3183"/>
    <tableColumn name="Column3165" id="3184"/>
    <tableColumn name="Column3166" id="3185"/>
    <tableColumn name="Column3167" id="3186"/>
    <tableColumn name="Column3168" id="3187"/>
    <tableColumn name="Column3169" id="3188"/>
    <tableColumn name="Column3170" id="3189"/>
    <tableColumn name="Column3171" id="3190"/>
    <tableColumn name="Column3172" id="3191"/>
    <tableColumn name="Column3173" id="3192"/>
    <tableColumn name="Column3174" id="3193"/>
    <tableColumn name="Column3175" id="3194"/>
    <tableColumn name="Column3176" id="3195"/>
    <tableColumn name="Column3177" id="3196"/>
    <tableColumn name="Column3178" id="3197"/>
    <tableColumn name="Column3179" id="3198"/>
    <tableColumn name="Column3180" id="3199"/>
    <tableColumn name="Column3181" id="3200"/>
    <tableColumn name="Column3182" id="3201"/>
    <tableColumn name="Column3183" id="3202"/>
    <tableColumn name="Column3184" id="3203"/>
    <tableColumn name="Column3185" id="3204"/>
    <tableColumn name="Column3186" id="3205"/>
    <tableColumn name="Column3187" id="3206"/>
    <tableColumn name="Column3188" id="3207"/>
    <tableColumn name="Column3189" id="3208"/>
    <tableColumn name="Column3190" id="3209"/>
    <tableColumn name="Column3191" id="3210"/>
    <tableColumn name="Column3192" id="3211"/>
    <tableColumn name="Column3193" id="3212"/>
    <tableColumn name="Column3194" id="3213"/>
    <tableColumn name="Column3195" id="3214"/>
    <tableColumn name="Column3196" id="3215"/>
    <tableColumn name="Column3197" id="3216"/>
    <tableColumn name="Column3198" id="3217"/>
    <tableColumn name="Column3199" id="3218"/>
    <tableColumn name="Column3200" id="3219"/>
    <tableColumn name="Column3201" id="3220"/>
    <tableColumn name="Column3202" id="3221"/>
    <tableColumn name="Column3203" id="3222"/>
    <tableColumn name="Column3204" id="3223"/>
    <tableColumn name="Column3205" id="3224"/>
    <tableColumn name="Column3206" id="3225"/>
    <tableColumn name="Column3207" id="3226"/>
    <tableColumn name="Column3208" id="3227"/>
    <tableColumn name="Column3209" id="3228"/>
    <tableColumn name="Column3210" id="3229"/>
    <tableColumn name="Column3211" id="3230"/>
    <tableColumn name="Column3212" id="3231"/>
    <tableColumn name="Column3213" id="3232"/>
    <tableColumn name="Column3214" id="3233"/>
    <tableColumn name="Column3215" id="3234"/>
    <tableColumn name="Column3216" id="3235"/>
    <tableColumn name="Column3217" id="3236"/>
    <tableColumn name="Column3218" id="3237"/>
    <tableColumn name="Column3219" id="3238"/>
    <tableColumn name="Column3220" id="3239"/>
    <tableColumn name="Column3221" id="3240"/>
    <tableColumn name="Column3222" id="3241"/>
    <tableColumn name="Column3223" id="3242"/>
    <tableColumn name="Column3224" id="3243"/>
    <tableColumn name="Column3225" id="3244"/>
    <tableColumn name="Column3226" id="3245"/>
    <tableColumn name="Column3227" id="3246"/>
    <tableColumn name="Column3228" id="3247"/>
    <tableColumn name="Column3229" id="3248"/>
    <tableColumn name="Column3230" id="3249"/>
    <tableColumn name="Column3231" id="3250"/>
    <tableColumn name="Column3232" id="3251"/>
    <tableColumn name="Column3233" id="3252"/>
    <tableColumn name="Column3234" id="3253"/>
    <tableColumn name="Column3235" id="3254"/>
    <tableColumn name="Column3236" id="3255"/>
    <tableColumn name="Column3237" id="3256"/>
    <tableColumn name="Column3238" id="3257"/>
    <tableColumn name="Column3239" id="3258"/>
    <tableColumn name="Column3240" id="3259"/>
    <tableColumn name="Column3241" id="3260"/>
    <tableColumn name="Column3242" id="3261"/>
    <tableColumn name="Column3243" id="3262"/>
    <tableColumn name="Column3244" id="3263"/>
    <tableColumn name="Column3245" id="3264"/>
    <tableColumn name="Column3246" id="3265"/>
    <tableColumn name="Column3247" id="3266"/>
    <tableColumn name="Column3248" id="3267"/>
    <tableColumn name="Column3249" id="3268"/>
    <tableColumn name="Column3250" id="3269"/>
    <tableColumn name="Column3251" id="3270"/>
    <tableColumn name="Column3252" id="3271"/>
    <tableColumn name="Column3253" id="3272"/>
    <tableColumn name="Column3254" id="3273"/>
    <tableColumn name="Column3255" id="3274"/>
    <tableColumn name="Column3256" id="3275"/>
    <tableColumn name="Column3257" id="3276"/>
    <tableColumn name="Column3258" id="3277"/>
    <tableColumn name="Column3259" id="3278"/>
    <tableColumn name="Column3260" id="3279"/>
    <tableColumn name="Column3261" id="3280"/>
    <tableColumn name="Column3262" id="3281"/>
    <tableColumn name="Column3263" id="3282"/>
    <tableColumn name="Column3264" id="3283"/>
    <tableColumn name="Column3265" id="3284"/>
    <tableColumn name="Column3266" id="3285"/>
    <tableColumn name="Column3267" id="3286"/>
    <tableColumn name="Column3268" id="3287"/>
    <tableColumn name="Column3269" id="3288"/>
    <tableColumn name="Column3270" id="3289"/>
    <tableColumn name="Column3271" id="3290"/>
    <tableColumn name="Column3272" id="3291"/>
    <tableColumn name="Column3273" id="3292"/>
    <tableColumn name="Column3274" id="3293"/>
    <tableColumn name="Column3275" id="3294"/>
    <tableColumn name="Column3276" id="3295"/>
    <tableColumn name="Column3277" id="3296"/>
    <tableColumn name="Column3278" id="3297"/>
    <tableColumn name="Column3279" id="3298"/>
    <tableColumn name="Column3280" id="3299"/>
    <tableColumn name="Column3281" id="3300"/>
    <tableColumn name="Column3282" id="3301"/>
    <tableColumn name="Column3283" id="3302"/>
    <tableColumn name="Column3284" id="3303"/>
    <tableColumn name="Column3285" id="3304"/>
    <tableColumn name="Column3286" id="3305"/>
    <tableColumn name="Column3287" id="3306"/>
    <tableColumn name="Column3288" id="3307"/>
    <tableColumn name="Column3289" id="3308"/>
    <tableColumn name="Column3290" id="3309"/>
    <tableColumn name="Column3291" id="3310"/>
    <tableColumn name="Column3292" id="3311"/>
    <tableColumn name="Column3293" id="3312"/>
    <tableColumn name="Column3294" id="3313"/>
    <tableColumn name="Column3295" id="3314"/>
    <tableColumn name="Column3296" id="3315"/>
    <tableColumn name="Column3297" id="3316"/>
    <tableColumn name="Column3298" id="3317"/>
    <tableColumn name="Column3299" id="3318"/>
    <tableColumn name="Column3300" id="3319"/>
    <tableColumn name="Column3301" id="3320"/>
    <tableColumn name="Column3302" id="3321"/>
    <tableColumn name="Column3303" id="3322"/>
    <tableColumn name="Column3304" id="3323"/>
    <tableColumn name="Column3305" id="3324"/>
    <tableColumn name="Column3306" id="3325"/>
    <tableColumn name="Column3307" id="3326"/>
    <tableColumn name="Column3308" id="3327"/>
    <tableColumn name="Column3309" id="3328"/>
    <tableColumn name="Column3310" id="3329"/>
    <tableColumn name="Column3311" id="3330"/>
    <tableColumn name="Column3312" id="3331"/>
    <tableColumn name="Column3313" id="3332"/>
    <tableColumn name="Column3314" id="3333"/>
    <tableColumn name="Column3315" id="3334"/>
    <tableColumn name="Column3316" id="3335"/>
    <tableColumn name="Column3317" id="3336"/>
    <tableColumn name="Column3318" id="3337"/>
    <tableColumn name="Column3319" id="3338"/>
    <tableColumn name="Column3320" id="3339"/>
    <tableColumn name="Column3321" id="3340"/>
    <tableColumn name="Column3322" id="3341"/>
    <tableColumn name="Column3323" id="3342"/>
    <tableColumn name="Column3324" id="3343"/>
    <tableColumn name="Column3325" id="3344"/>
    <tableColumn name="Column3326" id="3345"/>
    <tableColumn name="Column3327" id="3346"/>
    <tableColumn name="Column3328" id="3347"/>
    <tableColumn name="Column3329" id="3348"/>
    <tableColumn name="Column3330" id="3349"/>
    <tableColumn name="Column3331" id="3350"/>
    <tableColumn name="Column3332" id="3351"/>
    <tableColumn name="Column3333" id="3352"/>
    <tableColumn name="Column3334" id="3353"/>
    <tableColumn name="Column3335" id="3354"/>
    <tableColumn name="Column3336" id="3355"/>
    <tableColumn name="Column3337" id="3356"/>
    <tableColumn name="Column3338" id="3357"/>
    <tableColumn name="Column3339" id="3358"/>
    <tableColumn name="Column3340" id="3359"/>
    <tableColumn name="Column3341" id="3360"/>
    <tableColumn name="Column3342" id="3361"/>
    <tableColumn name="Column3343" id="3362"/>
    <tableColumn name="Column3344" id="3363"/>
    <tableColumn name="Column3345" id="3364"/>
    <tableColumn name="Column3346" id="3365"/>
    <tableColumn name="Column3347" id="3366"/>
    <tableColumn name="Column3348" id="3367"/>
    <tableColumn name="Column3349" id="3368"/>
    <tableColumn name="Column3350" id="3369"/>
    <tableColumn name="Column3351" id="3370"/>
    <tableColumn name="Column3352" id="3371"/>
    <tableColumn name="Column3353" id="3372"/>
    <tableColumn name="Column3354" id="3373"/>
    <tableColumn name="Column3355" id="3374"/>
    <tableColumn name="Column3356" id="3375"/>
    <tableColumn name="Column3357" id="3376"/>
    <tableColumn name="Column3358" id="3377"/>
    <tableColumn name="Column3359" id="3378"/>
    <tableColumn name="Column3360" id="3379"/>
    <tableColumn name="Column3361" id="3380"/>
    <tableColumn name="Column3362" id="3381"/>
    <tableColumn name="Column3363" id="3382"/>
    <tableColumn name="Column3364" id="3383"/>
    <tableColumn name="Column3365" id="3384"/>
    <tableColumn name="Column3366" id="3385"/>
    <tableColumn name="Column3367" id="3386"/>
    <tableColumn name="Column3368" id="3387"/>
    <tableColumn name="Column3369" id="3388"/>
    <tableColumn name="Column3370" id="3389"/>
    <tableColumn name="Column3371" id="3390"/>
    <tableColumn name="Column3372" id="3391"/>
    <tableColumn name="Column3373" id="3392"/>
    <tableColumn name="Column3374" id="3393"/>
    <tableColumn name="Column3375" id="3394"/>
    <tableColumn name="Column3376" id="3395"/>
    <tableColumn name="Column3377" id="3396"/>
    <tableColumn name="Column3378" id="3397"/>
    <tableColumn name="Column3379" id="3398"/>
    <tableColumn name="Column3380" id="3399"/>
    <tableColumn name="Column3381" id="3400"/>
    <tableColumn name="Column3382" id="3401"/>
    <tableColumn name="Column3383" id="3402"/>
    <tableColumn name="Column3384" id="3403"/>
    <tableColumn name="Column3385" id="3404"/>
    <tableColumn name="Column3386" id="3405"/>
    <tableColumn name="Column3387" id="3406"/>
    <tableColumn name="Column3388" id="3407"/>
    <tableColumn name="Column3389" id="3408"/>
    <tableColumn name="Column3390" id="3409"/>
    <tableColumn name="Column3391" id="3410"/>
    <tableColumn name="Column3392" id="3411"/>
    <tableColumn name="Column3393" id="3412"/>
    <tableColumn name="Column3394" id="3413"/>
    <tableColumn name="Column3395" id="3414"/>
    <tableColumn name="Column3396" id="3415"/>
    <tableColumn name="Column3397" id="3416"/>
    <tableColumn name="Column3398" id="3417"/>
    <tableColumn name="Column3399" id="3418"/>
    <tableColumn name="Column3400" id="3419"/>
    <tableColumn name="Column3401" id="3420"/>
    <tableColumn name="Column3402" id="3421"/>
    <tableColumn name="Column3403" id="3422"/>
    <tableColumn name="Column3404" id="3423"/>
    <tableColumn name="Column3405" id="3424"/>
    <tableColumn name="Column3406" id="3425"/>
    <tableColumn name="Column3407" id="3426"/>
    <tableColumn name="Column3408" id="3427"/>
    <tableColumn name="Column3409" id="3428"/>
    <tableColumn name="Column3410" id="3429"/>
    <tableColumn name="Column3411" id="3430"/>
    <tableColumn name="Column3412" id="3431"/>
    <tableColumn name="Column3413" id="3432"/>
    <tableColumn name="Column3414" id="3433"/>
    <tableColumn name="Column3415" id="3434"/>
    <tableColumn name="Column3416" id="3435"/>
    <tableColumn name="Column3417" id="3436"/>
    <tableColumn name="Column3418" id="3437"/>
    <tableColumn name="Column3419" id="3438"/>
    <tableColumn name="Column3420" id="3439"/>
    <tableColumn name="Column3421" id="3440"/>
    <tableColumn name="Column3422" id="3441"/>
    <tableColumn name="Column3423" id="3442"/>
    <tableColumn name="Column3424" id="3443"/>
    <tableColumn name="Column3425" id="3444"/>
    <tableColumn name="Column3426" id="3445"/>
    <tableColumn name="Column3427" id="3446"/>
    <tableColumn name="Column3428" id="3447"/>
    <tableColumn name="Column3429" id="3448"/>
    <tableColumn name="Column3430" id="3449"/>
    <tableColumn name="Column3431" id="3450"/>
    <tableColumn name="Column3432" id="3451"/>
    <tableColumn name="Column3433" id="3452"/>
    <tableColumn name="Column3434" id="3453"/>
    <tableColumn name="Column3435" id="3454"/>
    <tableColumn name="Column3436" id="3455"/>
    <tableColumn name="Column3437" id="3456"/>
    <tableColumn name="Column3438" id="3457"/>
    <tableColumn name="Column3439" id="3458"/>
    <tableColumn name="Column3440" id="3459"/>
    <tableColumn name="Column3441" id="3460"/>
    <tableColumn name="Column3442" id="3461"/>
    <tableColumn name="Column3443" id="3462"/>
    <tableColumn name="Column3444" id="3463"/>
    <tableColumn name="Column3445" id="3464"/>
    <tableColumn name="Column3446" id="3465"/>
    <tableColumn name="Column3447" id="3466"/>
    <tableColumn name="Column3448" id="3467"/>
    <tableColumn name="Column3449" id="3468"/>
    <tableColumn name="Column3450" id="3469"/>
    <tableColumn name="Column3451" id="3470"/>
    <tableColumn name="Column3452" id="3471"/>
    <tableColumn name="Column3453" id="3472"/>
    <tableColumn name="Column3454" id="3473"/>
    <tableColumn name="Column3455" id="3474"/>
    <tableColumn name="Column3456" id="3475"/>
    <tableColumn name="Column3457" id="3476"/>
    <tableColumn name="Column3458" id="3477"/>
    <tableColumn name="Column3459" id="3478"/>
    <tableColumn name="Column3460" id="3479"/>
    <tableColumn name="Column3461" id="3480"/>
    <tableColumn name="Column3462" id="3481"/>
    <tableColumn name="Column3463" id="3482"/>
    <tableColumn name="Column3464" id="3483"/>
    <tableColumn name="Column3465" id="3484"/>
    <tableColumn name="Column3466" id="3485"/>
    <tableColumn name="Column3467" id="3486"/>
    <tableColumn name="Column3468" id="3487"/>
    <tableColumn name="Column3469" id="3488"/>
    <tableColumn name="Column3470" id="3489"/>
    <tableColumn name="Column3471" id="3490"/>
    <tableColumn name="Column3472" id="3491"/>
    <tableColumn name="Column3473" id="3492"/>
    <tableColumn name="Column3474" id="3493"/>
    <tableColumn name="Column3475" id="3494"/>
    <tableColumn name="Column3476" id="3495"/>
    <tableColumn name="Column3477" id="3496"/>
    <tableColumn name="Column3478" id="3497"/>
    <tableColumn name="Column3479" id="3498"/>
    <tableColumn name="Column3480" id="3499"/>
    <tableColumn name="Column3481" id="3500"/>
    <tableColumn name="Column3482" id="3501"/>
    <tableColumn name="Column3483" id="3502"/>
    <tableColumn name="Column3484" id="3503"/>
    <tableColumn name="Column3485" id="3504"/>
    <tableColumn name="Column3486" id="3505"/>
    <tableColumn name="Column3487" id="3506"/>
    <tableColumn name="Column3488" id="3507"/>
    <tableColumn name="Column3489" id="3508"/>
    <tableColumn name="Column3490" id="3509"/>
    <tableColumn name="Column3491" id="3510"/>
    <tableColumn name="Column3492" id="3511"/>
    <tableColumn name="Column3493" id="3512"/>
    <tableColumn name="Column3494" id="3513"/>
    <tableColumn name="Column3495" id="3514"/>
    <tableColumn name="Column3496" id="3515"/>
    <tableColumn name="Column3497" id="3516"/>
    <tableColumn name="Column3498" id="3517"/>
    <tableColumn name="Column3499" id="3518"/>
    <tableColumn name="Column3500" id="3519"/>
    <tableColumn name="Column3501" id="3520"/>
    <tableColumn name="Column3502" id="3521"/>
    <tableColumn name="Column3503" id="3522"/>
    <tableColumn name="Column3504" id="3523"/>
    <tableColumn name="Column3505" id="3524"/>
    <tableColumn name="Column3506" id="3525"/>
    <tableColumn name="Column3507" id="3526"/>
    <tableColumn name="Column3508" id="3527"/>
    <tableColumn name="Column3509" id="3528"/>
    <tableColumn name="Column3510" id="3529"/>
    <tableColumn name="Column3511" id="3530"/>
    <tableColumn name="Column3512" id="3531"/>
    <tableColumn name="Column3513" id="3532"/>
    <tableColumn name="Column3514" id="3533"/>
    <tableColumn name="Column3515" id="3534"/>
    <tableColumn name="Column3516" id="3535"/>
    <tableColumn name="Column3517" id="3536"/>
    <tableColumn name="Column3518" id="3537"/>
    <tableColumn name="Column3519" id="3538"/>
    <tableColumn name="Column3520" id="3539"/>
    <tableColumn name="Column3521" id="3540"/>
    <tableColumn name="Column3522" id="3541"/>
    <tableColumn name="Column3523" id="3542"/>
    <tableColumn name="Column3524" id="3543"/>
    <tableColumn name="Column3525" id="3544"/>
    <tableColumn name="Column3526" id="3545"/>
    <tableColumn name="Column3527" id="3546"/>
    <tableColumn name="Column3528" id="3547"/>
    <tableColumn name="Column3529" id="3548"/>
    <tableColumn name="Column3530" id="3549"/>
    <tableColumn name="Column3531" id="3550"/>
    <tableColumn name="Column3532" id="3551"/>
    <tableColumn name="Column3533" id="3552"/>
    <tableColumn name="Column3534" id="3553"/>
    <tableColumn name="Column3535" id="3554"/>
    <tableColumn name="Column3536" id="3555"/>
    <tableColumn name="Column3537" id="3556"/>
    <tableColumn name="Column3538" id="3557"/>
    <tableColumn name="Column3539" id="3558"/>
    <tableColumn name="Column3540" id="3559"/>
    <tableColumn name="Column3541" id="3560"/>
    <tableColumn name="Column3542" id="3561"/>
    <tableColumn name="Column3543" id="3562"/>
    <tableColumn name="Column3544" id="3563"/>
    <tableColumn name="Column3545" id="3564"/>
    <tableColumn name="Column3546" id="3565"/>
    <tableColumn name="Column3547" id="3566"/>
    <tableColumn name="Column3548" id="3567"/>
    <tableColumn name="Column3549" id="3568"/>
    <tableColumn name="Column3550" id="3569"/>
    <tableColumn name="Column3551" id="3570"/>
    <tableColumn name="Column3552" id="3571"/>
    <tableColumn name="Column3553" id="3572"/>
    <tableColumn name="Column3554" id="3573"/>
    <tableColumn name="Column3555" id="3574"/>
    <tableColumn name="Column3556" id="3575"/>
    <tableColumn name="Column3557" id="3576"/>
    <tableColumn name="Column3558" id="3577"/>
    <tableColumn name="Column3559" id="3578"/>
    <tableColumn name="Column3560" id="3579"/>
    <tableColumn name="Column3561" id="3580"/>
    <tableColumn name="Column3562" id="3581"/>
    <tableColumn name="Column3563" id="3582"/>
    <tableColumn name="Column3564" id="3583"/>
    <tableColumn name="Column3565" id="3584"/>
    <tableColumn name="Column3566" id="3585"/>
    <tableColumn name="Column3567" id="3586"/>
    <tableColumn name="Column3568" id="3587"/>
    <tableColumn name="Column3569" id="3588"/>
    <tableColumn name="Column3570" id="3589"/>
    <tableColumn name="Column3571" id="3590"/>
    <tableColumn name="Column3572" id="3591"/>
    <tableColumn name="Column3573" id="3592"/>
    <tableColumn name="Column3574" id="3593"/>
    <tableColumn name="Column3575" id="3594"/>
    <tableColumn name="Column3576" id="3595"/>
    <tableColumn name="Column3577" id="3596"/>
    <tableColumn name="Column3578" id="3597"/>
    <tableColumn name="Column3579" id="3598"/>
    <tableColumn name="Column3580" id="3599"/>
    <tableColumn name="Column3581" id="3600"/>
    <tableColumn name="Column3582" id="3601"/>
    <tableColumn name="Column3583" id="3602"/>
    <tableColumn name="Column3584" id="3603"/>
    <tableColumn name="Column3585" id="3604"/>
    <tableColumn name="Column3586" id="3605"/>
    <tableColumn name="Column3587" id="3606"/>
    <tableColumn name="Column3588" id="3607"/>
    <tableColumn name="Column3589" id="3608"/>
    <tableColumn name="Column3590" id="3609"/>
    <tableColumn name="Column3591" id="3610"/>
    <tableColumn name="Column3592" id="3611"/>
    <tableColumn name="Column3593" id="3612"/>
    <tableColumn name="Column3594" id="3613"/>
    <tableColumn name="Column3595" id="3614"/>
    <tableColumn name="Column3596" id="3615"/>
    <tableColumn name="Column3597" id="3616"/>
    <tableColumn name="Column3598" id="3617"/>
    <tableColumn name="Column3599" id="3618"/>
    <tableColumn name="Column3600" id="3619"/>
    <tableColumn name="Column3601" id="3620"/>
    <tableColumn name="Column3602" id="3621"/>
    <tableColumn name="Column3603" id="3622"/>
    <tableColumn name="Column3604" id="3623"/>
    <tableColumn name="Column3605" id="3624"/>
    <tableColumn name="Column3606" id="3625"/>
    <tableColumn name="Column3607" id="3626"/>
    <tableColumn name="Column3608" id="3627"/>
    <tableColumn name="Column3609" id="3628"/>
    <tableColumn name="Column3610" id="3629"/>
    <tableColumn name="Column3611" id="3630"/>
    <tableColumn name="Column3612" id="3631"/>
    <tableColumn name="Column3613" id="3632"/>
    <tableColumn name="Column3614" id="3633"/>
    <tableColumn name="Column3615" id="3634"/>
    <tableColumn name="Column3616" id="3635"/>
    <tableColumn name="Column3617" id="3636"/>
    <tableColumn name="Column3618" id="3637"/>
    <tableColumn name="Column3619" id="3638"/>
    <tableColumn name="Column3620" id="3639"/>
    <tableColumn name="Column3621" id="3640"/>
    <tableColumn name="Column3622" id="3641"/>
    <tableColumn name="Column3623" id="3642"/>
    <tableColumn name="Column3624" id="3643"/>
    <tableColumn name="Column3625" id="3644"/>
    <tableColumn name="Column3626" id="3645"/>
    <tableColumn name="Column3627" id="3646"/>
    <tableColumn name="Column3628" id="3647"/>
    <tableColumn name="Column3629" id="3648"/>
    <tableColumn name="Column3630" id="3649"/>
    <tableColumn name="Column3631" id="3650"/>
    <tableColumn name="Column3632" id="3651"/>
    <tableColumn name="Column3633" id="3652"/>
    <tableColumn name="Column3634" id="3653"/>
    <tableColumn name="Column3635" id="3654"/>
    <tableColumn name="Column3636" id="3655"/>
    <tableColumn name="Column3637" id="3656"/>
    <tableColumn name="Column3638" id="3657"/>
    <tableColumn name="Column3639" id="3658"/>
    <tableColumn name="Column3640" id="3659"/>
    <tableColumn name="Column3641" id="3660"/>
    <tableColumn name="Column3642" id="3661"/>
    <tableColumn name="Column3643" id="3662"/>
    <tableColumn name="Column3644" id="3663"/>
    <tableColumn name="Column3645" id="3664"/>
    <tableColumn name="Column3646" id="3665"/>
    <tableColumn name="Column3647" id="3666"/>
    <tableColumn name="Column3648" id="3667"/>
    <tableColumn name="Column3649" id="3668"/>
    <tableColumn name="Column3650" id="3669"/>
    <tableColumn name="Column3651" id="3670"/>
    <tableColumn name="Column3652" id="3671"/>
    <tableColumn name="Column3653" id="3672"/>
    <tableColumn name="Column3654" id="3673"/>
    <tableColumn name="Column3655" id="3674"/>
    <tableColumn name="Column3656" id="3675"/>
    <tableColumn name="Column3657" id="3676"/>
    <tableColumn name="Column3658" id="3677"/>
    <tableColumn name="Column3659" id="3678"/>
    <tableColumn name="Column3660" id="3679"/>
    <tableColumn name="Column3661" id="3680"/>
    <tableColumn name="Column3662" id="3681"/>
    <tableColumn name="Column3663" id="3682"/>
    <tableColumn name="Column3664" id="3683"/>
    <tableColumn name="Column3665" id="3684"/>
    <tableColumn name="Column3666" id="3685"/>
    <tableColumn name="Column3667" id="3686"/>
    <tableColumn name="Column3668" id="3687"/>
    <tableColumn name="Column3669" id="3688"/>
    <tableColumn name="Column3670" id="3689"/>
    <tableColumn name="Column3671" id="3690"/>
    <tableColumn name="Column3672" id="3691"/>
    <tableColumn name="Column3673" id="3692"/>
    <tableColumn name="Column3674" id="3693"/>
    <tableColumn name="Column3675" id="3694"/>
    <tableColumn name="Column3676" id="3695"/>
    <tableColumn name="Column3677" id="3696"/>
    <tableColumn name="Column3678" id="3697"/>
    <tableColumn name="Column3679" id="3698"/>
    <tableColumn name="Column3680" id="3699"/>
    <tableColumn name="Column3681" id="3700"/>
    <tableColumn name="Column3682" id="3701"/>
    <tableColumn name="Column3683" id="3702"/>
    <tableColumn name="Column3684" id="3703"/>
    <tableColumn name="Column3685" id="3704"/>
    <tableColumn name="Column3686" id="3705"/>
    <tableColumn name="Column3687" id="3706"/>
    <tableColumn name="Column3688" id="3707"/>
    <tableColumn name="Column3689" id="3708"/>
    <tableColumn name="Column3690" id="3709"/>
    <tableColumn name="Column3691" id="3710"/>
    <tableColumn name="Column3692" id="3711"/>
    <tableColumn name="Column3693" id="3712"/>
    <tableColumn name="Column3694" id="3713"/>
    <tableColumn name="Column3695" id="3714"/>
    <tableColumn name="Column3696" id="3715"/>
    <tableColumn name="Column3697" id="3716"/>
    <tableColumn name="Column3698" id="3717"/>
    <tableColumn name="Column3699" id="3718"/>
    <tableColumn name="Column3700" id="3719"/>
    <tableColumn name="Column3701" id="3720"/>
    <tableColumn name="Column3702" id="3721"/>
    <tableColumn name="Column3703" id="3722"/>
    <tableColumn name="Column3704" id="3723"/>
    <tableColumn name="Column3705" id="3724"/>
    <tableColumn name="Column3706" id="3725"/>
    <tableColumn name="Column3707" id="3726"/>
    <tableColumn name="Column3708" id="3727"/>
    <tableColumn name="Column3709" id="3728"/>
    <tableColumn name="Column3710" id="3729"/>
    <tableColumn name="Column3711" id="3730"/>
    <tableColumn name="Column3712" id="3731"/>
    <tableColumn name="Column3713" id="3732"/>
    <tableColumn name="Column3714" id="3733"/>
    <tableColumn name="Column3715" id="3734"/>
    <tableColumn name="Column3716" id="3735"/>
    <tableColumn name="Column3717" id="3736"/>
    <tableColumn name="Column3718" id="3737"/>
    <tableColumn name="Column3719" id="3738"/>
    <tableColumn name="Column3720" id="3739"/>
    <tableColumn name="Column3721" id="3740"/>
    <tableColumn name="Column3722" id="3741"/>
    <tableColumn name="Column3723" id="3742"/>
    <tableColumn name="Column3724" id="3743"/>
    <tableColumn name="Column3725" id="3744"/>
    <tableColumn name="Column3726" id="3745"/>
    <tableColumn name="Column3727" id="3746"/>
    <tableColumn name="Column3728" id="3747"/>
    <tableColumn name="Column3729" id="3748"/>
    <tableColumn name="Column3730" id="3749"/>
    <tableColumn name="Column3731" id="3750"/>
    <tableColumn name="Column3732" id="3751"/>
    <tableColumn name="Column3733" id="3752"/>
    <tableColumn name="Column3734" id="3753"/>
    <tableColumn name="Column3735" id="3754"/>
    <tableColumn name="Column3736" id="3755"/>
    <tableColumn name="Column3737" id="3756"/>
    <tableColumn name="Column3738" id="3757"/>
    <tableColumn name="Column3739" id="3758"/>
    <tableColumn name="Column3740" id="3759"/>
    <tableColumn name="Column3741" id="3760"/>
    <tableColumn name="Column3742" id="3761"/>
    <tableColumn name="Column3743" id="3762"/>
    <tableColumn name="Column3744" id="3763"/>
    <tableColumn name="Column3745" id="3764"/>
    <tableColumn name="Column3746" id="3765"/>
    <tableColumn name="Column3747" id="3766"/>
    <tableColumn name="Column3748" id="3767"/>
    <tableColumn name="Column3749" id="3768"/>
    <tableColumn name="Column3750" id="3769"/>
    <tableColumn name="Column3751" id="3770"/>
    <tableColumn name="Column3752" id="3771"/>
    <tableColumn name="Column3753" id="3772"/>
    <tableColumn name="Column3754" id="3773"/>
    <tableColumn name="Column3755" id="3774"/>
    <tableColumn name="Column3756" id="3775"/>
    <tableColumn name="Column3757" id="3776"/>
    <tableColumn name="Column3758" id="3777"/>
    <tableColumn name="Column3759" id="3778"/>
    <tableColumn name="Column3760" id="3779"/>
    <tableColumn name="Column3761" id="3780"/>
    <tableColumn name="Column3762" id="3781"/>
    <tableColumn name="Column3763" id="3782"/>
    <tableColumn name="Column3764" id="3783"/>
    <tableColumn name="Column3765" id="3784"/>
    <tableColumn name="Column3766" id="3785"/>
    <tableColumn name="Column3767" id="3786"/>
    <tableColumn name="Column3768" id="3787"/>
    <tableColumn name="Column3769" id="3788"/>
    <tableColumn name="Column3770" id="3789"/>
    <tableColumn name="Column3771" id="3790"/>
    <tableColumn name="Column3772" id="3791"/>
    <tableColumn name="Column3773" id="3792"/>
    <tableColumn name="Column3774" id="3793"/>
    <tableColumn name="Column3775" id="3794"/>
    <tableColumn name="Column3776" id="3795"/>
    <tableColumn name="Column3777" id="3796"/>
    <tableColumn name="Column3778" id="3797"/>
    <tableColumn name="Column3779" id="3798"/>
    <tableColumn name="Column3780" id="3799"/>
    <tableColumn name="Column3781" id="3800"/>
    <tableColumn name="Column3782" id="3801"/>
    <tableColumn name="Column3783" id="3802"/>
    <tableColumn name="Column3784" id="3803"/>
    <tableColumn name="Column3785" id="3804"/>
    <tableColumn name="Column3786" id="3805"/>
    <tableColumn name="Column3787" id="3806"/>
    <tableColumn name="Column3788" id="3807"/>
    <tableColumn name="Column3789" id="3808"/>
    <tableColumn name="Column3790" id="3809"/>
    <tableColumn name="Column3791" id="3810"/>
    <tableColumn name="Column3792" id="3811"/>
    <tableColumn name="Column3793" id="3812"/>
    <tableColumn name="Column3794" id="3813"/>
    <tableColumn name="Column3795" id="3814"/>
    <tableColumn name="Column3796" id="3815"/>
    <tableColumn name="Column3797" id="3816"/>
    <tableColumn name="Column3798" id="3817"/>
    <tableColumn name="Column3799" id="3818"/>
    <tableColumn name="Column3800" id="3819"/>
    <tableColumn name="Column3801" id="3820"/>
    <tableColumn name="Column3802" id="3821"/>
    <tableColumn name="Column3803" id="3822"/>
    <tableColumn name="Column3804" id="3823"/>
    <tableColumn name="Column3805" id="3824"/>
    <tableColumn name="Column3806" id="3825"/>
    <tableColumn name="Column3807" id="3826"/>
    <tableColumn name="Column3808" id="3827"/>
    <tableColumn name="Column3809" id="3828"/>
    <tableColumn name="Column3810" id="3829"/>
    <tableColumn name="Column3811" id="3830"/>
    <tableColumn name="Column3812" id="3831"/>
    <tableColumn name="Column3813" id="3832"/>
    <tableColumn name="Column3814" id="3833"/>
    <tableColumn name="Column3815" id="3834"/>
    <tableColumn name="Column3816" id="3835"/>
    <tableColumn name="Column3817" id="3836"/>
    <tableColumn name="Column3818" id="3837"/>
    <tableColumn name="Column3819" id="3838"/>
    <tableColumn name="Column3820" id="3839"/>
    <tableColumn name="Column3821" id="3840"/>
    <tableColumn name="Column3822" id="3841"/>
    <tableColumn name="Column3823" id="3842"/>
    <tableColumn name="Column3824" id="3843"/>
    <tableColumn name="Column3825" id="3844"/>
    <tableColumn name="Column3826" id="3845"/>
    <tableColumn name="Column3827" id="3846"/>
    <tableColumn name="Column3828" id="3847"/>
    <tableColumn name="Column3829" id="3848"/>
    <tableColumn name="Column3830" id="3849"/>
    <tableColumn name="Column3831" id="3850"/>
    <tableColumn name="Column3832" id="3851"/>
    <tableColumn name="Column3833" id="3852"/>
    <tableColumn name="Column3834" id="3853"/>
    <tableColumn name="Column3835" id="3854"/>
    <tableColumn name="Column3836" id="3855"/>
    <tableColumn name="Column3837" id="3856"/>
    <tableColumn name="Column3838" id="3857"/>
    <tableColumn name="Column3839" id="3858"/>
    <tableColumn name="Column3840" id="3859"/>
    <tableColumn name="Column3841" id="3860"/>
    <tableColumn name="Column3842" id="3861"/>
    <tableColumn name="Column3843" id="3862"/>
    <tableColumn name="Column3844" id="3863"/>
    <tableColumn name="Column3845" id="3864"/>
    <tableColumn name="Column3846" id="3865"/>
    <tableColumn name="Column3847" id="3866"/>
    <tableColumn name="Column3848" id="3867"/>
    <tableColumn name="Column3849" id="3868"/>
    <tableColumn name="Column3850" id="3869"/>
    <tableColumn name="Column3851" id="3870"/>
    <tableColumn name="Column3852" id="3871"/>
    <tableColumn name="Column3853" id="3872"/>
    <tableColumn name="Column3854" id="3873"/>
    <tableColumn name="Column3855" id="3874"/>
    <tableColumn name="Column3856" id="3875"/>
    <tableColumn name="Column3857" id="3876"/>
    <tableColumn name="Column3858" id="3877"/>
    <tableColumn name="Column3859" id="3878"/>
    <tableColumn name="Column3860" id="3879"/>
    <tableColumn name="Column3861" id="3880"/>
    <tableColumn name="Column3862" id="3881"/>
    <tableColumn name="Column3863" id="3882"/>
    <tableColumn name="Column3864" id="3883"/>
    <tableColumn name="Column3865" id="3884"/>
    <tableColumn name="Column3866" id="3885"/>
    <tableColumn name="Column3867" id="3886"/>
    <tableColumn name="Column3868" id="3887"/>
    <tableColumn name="Column3869" id="3888"/>
    <tableColumn name="Column3870" id="3889"/>
    <tableColumn name="Column3871" id="3890"/>
    <tableColumn name="Column3872" id="3891"/>
    <tableColumn name="Column3873" id="3892"/>
    <tableColumn name="Column3874" id="3893"/>
    <tableColumn name="Column3875" id="3894"/>
    <tableColumn name="Column3876" id="3895"/>
    <tableColumn name="Column3877" id="3896"/>
    <tableColumn name="Column3878" id="3897"/>
    <tableColumn name="Column3879" id="3898"/>
    <tableColumn name="Column3880" id="3899"/>
    <tableColumn name="Column3881" id="3900"/>
    <tableColumn name="Column3882" id="3901"/>
    <tableColumn name="Column3883" id="3902"/>
    <tableColumn name="Column3884" id="3903"/>
    <tableColumn name="Column3885" id="3904"/>
    <tableColumn name="Column3886" id="3905"/>
    <tableColumn name="Column3887" id="3906"/>
    <tableColumn name="Column3888" id="3907"/>
    <tableColumn name="Column3889" id="3908"/>
    <tableColumn name="Column3890" id="3909"/>
    <tableColumn name="Column3891" id="3910"/>
    <tableColumn name="Column3892" id="3911"/>
    <tableColumn name="Column3893" id="3912"/>
    <tableColumn name="Column3894" id="3913"/>
    <tableColumn name="Column3895" id="3914"/>
    <tableColumn name="Column3896" id="3915"/>
    <tableColumn name="Column3897" id="3916"/>
    <tableColumn name="Column3898" id="3917"/>
    <tableColumn name="Column3899" id="3918"/>
    <tableColumn name="Column3900" id="3919"/>
    <tableColumn name="Column3901" id="3920"/>
    <tableColumn name="Column3902" id="3921"/>
    <tableColumn name="Column3903" id="3922"/>
    <tableColumn name="Column3904" id="3923"/>
    <tableColumn name="Column3905" id="3924"/>
    <tableColumn name="Column3906" id="3925"/>
    <tableColumn name="Column3907" id="3926"/>
    <tableColumn name="Column3908" id="3927"/>
    <tableColumn name="Column3909" id="3928"/>
    <tableColumn name="Column3910" id="3929"/>
    <tableColumn name="Column3911" id="3930"/>
    <tableColumn name="Column3912" id="3931"/>
    <tableColumn name="Column3913" id="3932"/>
    <tableColumn name="Column3914" id="3933"/>
    <tableColumn name="Column3915" id="3934"/>
    <tableColumn name="Column3916" id="3935"/>
    <tableColumn name="Column3917" id="3936"/>
    <tableColumn name="Column3918" id="3937"/>
    <tableColumn name="Column3919" id="3938"/>
    <tableColumn name="Column3920" id="3939"/>
    <tableColumn name="Column3921" id="3940"/>
    <tableColumn name="Column3922" id="3941"/>
    <tableColumn name="Column3923" id="3942"/>
    <tableColumn name="Column3924" id="3943"/>
    <tableColumn name="Column3925" id="3944"/>
    <tableColumn name="Column3926" id="3945"/>
    <tableColumn name="Column3927" id="3946"/>
    <tableColumn name="Column3928" id="3947"/>
    <tableColumn name="Column3929" id="3948"/>
    <tableColumn name="Column3930" id="3949"/>
    <tableColumn name="Column3931" id="3950"/>
    <tableColumn name="Column3932" id="3951"/>
    <tableColumn name="Column3933" id="3952"/>
    <tableColumn name="Column3934" id="3953"/>
    <tableColumn name="Column3935" id="3954"/>
    <tableColumn name="Column3936" id="3955"/>
    <tableColumn name="Column3937" id="3956"/>
    <tableColumn name="Column3938" id="3957"/>
    <tableColumn name="Column3939" id="3958"/>
    <tableColumn name="Column3940" id="3959"/>
    <tableColumn name="Column3941" id="3960"/>
    <tableColumn name="Column3942" id="3961"/>
    <tableColumn name="Column3943" id="3962"/>
    <tableColumn name="Column3944" id="3963"/>
    <tableColumn name="Column3945" id="3964"/>
    <tableColumn name="Column3946" id="3965"/>
    <tableColumn name="Column3947" id="3966"/>
    <tableColumn name="Column3948" id="3967"/>
    <tableColumn name="Column3949" id="3968"/>
    <tableColumn name="Column3950" id="3969"/>
    <tableColumn name="Column3951" id="3970"/>
    <tableColumn name="Column3952" id="3971"/>
    <tableColumn name="Column3953" id="3972"/>
    <tableColumn name="Column3954" id="3973"/>
    <tableColumn name="Column3955" id="3974"/>
    <tableColumn name="Column3956" id="3975"/>
    <tableColumn name="Column3957" id="3976"/>
    <tableColumn name="Column3958" id="3977"/>
    <tableColumn name="Column3959" id="3978"/>
    <tableColumn name="Column3960" id="3979"/>
    <tableColumn name="Column3961" id="3980"/>
    <tableColumn name="Column3962" id="3981"/>
    <tableColumn name="Column3963" id="3982"/>
    <tableColumn name="Column3964" id="3983"/>
    <tableColumn name="Column3965" id="3984"/>
    <tableColumn name="Column3966" id="3985"/>
    <tableColumn name="Column3967" id="3986"/>
    <tableColumn name="Column3968" id="3987"/>
    <tableColumn name="Column3969" id="3988"/>
    <tableColumn name="Column3970" id="3989"/>
    <tableColumn name="Column3971" id="3990"/>
    <tableColumn name="Column3972" id="3991"/>
    <tableColumn name="Column3973" id="3992"/>
    <tableColumn name="Column3974" id="3993"/>
    <tableColumn name="Column3975" id="3994"/>
    <tableColumn name="Column3976" id="3995"/>
    <tableColumn name="Column3977" id="3996"/>
    <tableColumn name="Column3978" id="3997"/>
    <tableColumn name="Column3979" id="3998"/>
    <tableColumn name="Column3980" id="3999"/>
    <tableColumn name="Column3981" id="4000"/>
    <tableColumn name="Column3982" id="4001"/>
    <tableColumn name="Column3983" id="4002"/>
    <tableColumn name="Column3984" id="4003"/>
    <tableColumn name="Column3985" id="4004"/>
    <tableColumn name="Column3986" id="4005"/>
    <tableColumn name="Column3987" id="4006"/>
    <tableColumn name="Column3988" id="4007"/>
    <tableColumn name="Column3989" id="4008"/>
    <tableColumn name="Column3990" id="4009"/>
    <tableColumn name="Column3991" id="4010"/>
    <tableColumn name="Column3992" id="4011"/>
    <tableColumn name="Column3993" id="4012"/>
    <tableColumn name="Column3994" id="4013"/>
    <tableColumn name="Column3995" id="4014"/>
    <tableColumn name="Column3996" id="4015"/>
    <tableColumn name="Column3997" id="4016"/>
    <tableColumn name="Column3998" id="4017"/>
    <tableColumn name="Column3999" id="4018"/>
    <tableColumn name="Column4000" id="4019"/>
    <tableColumn name="Column4001" id="4020"/>
    <tableColumn name="Column4002" id="4021"/>
    <tableColumn name="Column4003" id="4022"/>
    <tableColumn name="Column4004" id="4023"/>
    <tableColumn name="Column4005" id="4024"/>
    <tableColumn name="Column4006" id="4025"/>
    <tableColumn name="Column4007" id="4026"/>
    <tableColumn name="Column4008" id="4027"/>
    <tableColumn name="Column4009" id="4028"/>
    <tableColumn name="Column4010" id="4029"/>
    <tableColumn name="Column4011" id="4030"/>
    <tableColumn name="Column4012" id="4031"/>
    <tableColumn name="Column4013" id="4032"/>
    <tableColumn name="Column4014" id="4033"/>
    <tableColumn name="Column4015" id="4034"/>
    <tableColumn name="Column4016" id="4035"/>
    <tableColumn name="Column4017" id="4036"/>
    <tableColumn name="Column4018" id="4037"/>
    <tableColumn name="Column4019" id="4038"/>
    <tableColumn name="Column4020" id="4039"/>
    <tableColumn name="Column4021" id="4040"/>
    <tableColumn name="Column4022" id="4041"/>
    <tableColumn name="Column4023" id="4042"/>
    <tableColumn name="Column4024" id="4043"/>
    <tableColumn name="Column4025" id="4044"/>
    <tableColumn name="Column4026" id="4045"/>
    <tableColumn name="Column4027" id="4046"/>
    <tableColumn name="Column4028" id="4047"/>
    <tableColumn name="Column4029" id="4048"/>
    <tableColumn name="Column4030" id="4049"/>
    <tableColumn name="Column4031" id="4050"/>
    <tableColumn name="Column4032" id="4051"/>
    <tableColumn name="Column4033" id="4052"/>
    <tableColumn name="Column4034" id="4053"/>
    <tableColumn name="Column4035" id="4054"/>
    <tableColumn name="Column4036" id="4055"/>
    <tableColumn name="Column4037" id="4056"/>
    <tableColumn name="Column4038" id="4057"/>
    <tableColumn name="Column4039" id="4058"/>
    <tableColumn name="Column4040" id="4059"/>
    <tableColumn name="Column4041" id="4060"/>
    <tableColumn name="Column4042" id="4061"/>
    <tableColumn name="Column4043" id="4062"/>
    <tableColumn name="Column4044" id="4063"/>
    <tableColumn name="Column4045" id="4064"/>
    <tableColumn name="Column4046" id="4065"/>
    <tableColumn name="Column4047" id="4066"/>
    <tableColumn name="Column4048" id="4067"/>
    <tableColumn name="Column4049" id="4068"/>
    <tableColumn name="Column4050" id="4069"/>
    <tableColumn name="Column4051" id="4070"/>
    <tableColumn name="Column4052" id="4071"/>
    <tableColumn name="Column4053" id="4072"/>
    <tableColumn name="Column4054" id="4073"/>
    <tableColumn name="Column4055" id="4074"/>
    <tableColumn name="Column4056" id="4075"/>
    <tableColumn name="Column4057" id="4076"/>
    <tableColumn name="Column4058" id="4077"/>
    <tableColumn name="Column4059" id="4078"/>
    <tableColumn name="Column4060" id="4079"/>
    <tableColumn name="Column4061" id="4080"/>
    <tableColumn name="Column4062" id="4081"/>
    <tableColumn name="Column4063" id="4082"/>
    <tableColumn name="Column4064" id="4083"/>
    <tableColumn name="Column4065" id="4084"/>
    <tableColumn name="Column4066" id="4085"/>
    <tableColumn name="Column4067" id="4086"/>
    <tableColumn name="Column4068" id="4087"/>
    <tableColumn name="Column4069" id="4088"/>
    <tableColumn name="Column4070" id="4089"/>
    <tableColumn name="Column4071" id="4090"/>
    <tableColumn name="Column4072" id="4091"/>
    <tableColumn name="Column4073" id="4092"/>
    <tableColumn name="Column4074" id="4093"/>
    <tableColumn name="Column4075" id="4094"/>
    <tableColumn name="Column4076" id="4095"/>
    <tableColumn name="Column4077" id="4096"/>
    <tableColumn name="Column4078" id="4097"/>
    <tableColumn name="Column4079" id="4098"/>
    <tableColumn name="Column4080" id="4099"/>
    <tableColumn name="Column4081" id="4100"/>
    <tableColumn name="Column4082" id="4101"/>
    <tableColumn name="Column4083" id="4102"/>
    <tableColumn name="Column4084" id="4103"/>
    <tableColumn name="Column4085" id="4104"/>
    <tableColumn name="Column4086" id="4105"/>
    <tableColumn name="Column4087" id="4106"/>
    <tableColumn name="Column4088" id="4107"/>
    <tableColumn name="Column4089" id="4108"/>
    <tableColumn name="Column4090" id="4109"/>
    <tableColumn name="Column4091" id="4110"/>
    <tableColumn name="Column4092" id="4111"/>
    <tableColumn name="Column4093" id="4112"/>
    <tableColumn name="Column4094" id="4113"/>
    <tableColumn name="Column4095" id="4114"/>
    <tableColumn name="Column4096" id="4115"/>
    <tableColumn name="Column4097" id="4116"/>
    <tableColumn name="Column4098" id="4117"/>
    <tableColumn name="Column4099" id="4118"/>
    <tableColumn name="Column4100" id="4119"/>
    <tableColumn name="Column4101" id="4120"/>
    <tableColumn name="Column4102" id="4121"/>
    <tableColumn name="Column4103" id="4122"/>
    <tableColumn name="Column4104" id="4123"/>
    <tableColumn name="Column4105" id="4124"/>
    <tableColumn name="Column4106" id="4125"/>
    <tableColumn name="Column4107" id="4126"/>
    <tableColumn name="Column4108" id="4127"/>
    <tableColumn name="Column4109" id="4128"/>
    <tableColumn name="Column4110" id="4129"/>
    <tableColumn name="Column4111" id="4130"/>
    <tableColumn name="Column4112" id="4131"/>
    <tableColumn name="Column4113" id="4132"/>
    <tableColumn name="Column4114" id="4133"/>
    <tableColumn name="Column4115" id="4134"/>
    <tableColumn name="Column4116" id="4135"/>
    <tableColumn name="Column4117" id="4136"/>
    <tableColumn name="Column4118" id="4137"/>
    <tableColumn name="Column4119" id="4138"/>
    <tableColumn name="Column4120" id="4139"/>
    <tableColumn name="Column4121" id="4140"/>
    <tableColumn name="Column4122" id="4141"/>
    <tableColumn name="Column4123" id="4142"/>
    <tableColumn name="Column4124" id="4143"/>
    <tableColumn name="Column4125" id="4144"/>
    <tableColumn name="Column4126" id="4145"/>
    <tableColumn name="Column4127" id="4146"/>
    <tableColumn name="Column4128" id="4147"/>
    <tableColumn name="Column4129" id="4148"/>
    <tableColumn name="Column4130" id="4149"/>
    <tableColumn name="Column4131" id="4150"/>
    <tableColumn name="Column4132" id="4151"/>
    <tableColumn name="Column4133" id="4152"/>
    <tableColumn name="Column4134" id="4153"/>
    <tableColumn name="Column4135" id="4154"/>
    <tableColumn name="Column4136" id="4155"/>
    <tableColumn name="Column4137" id="4156"/>
    <tableColumn name="Column4138" id="4157"/>
    <tableColumn name="Column4139" id="4158"/>
    <tableColumn name="Column4140" id="4159"/>
    <tableColumn name="Column4141" id="4160"/>
    <tableColumn name="Column4142" id="4161"/>
    <tableColumn name="Column4143" id="4162"/>
    <tableColumn name="Column4144" id="4163"/>
    <tableColumn name="Column4145" id="4164"/>
    <tableColumn name="Column4146" id="4165"/>
    <tableColumn name="Column4147" id="4166"/>
    <tableColumn name="Column4148" id="4167"/>
    <tableColumn name="Column4149" id="4168"/>
    <tableColumn name="Column4150" id="4169"/>
    <tableColumn name="Column4151" id="4170"/>
    <tableColumn name="Column4152" id="4171"/>
    <tableColumn name="Column4153" id="4172"/>
    <tableColumn name="Column4154" id="4173"/>
    <tableColumn name="Column4155" id="4174"/>
    <tableColumn name="Column4156" id="4175"/>
    <tableColumn name="Column4157" id="4176"/>
    <tableColumn name="Column4158" id="4177"/>
    <tableColumn name="Column4159" id="4178"/>
    <tableColumn name="Column4160" id="4179"/>
    <tableColumn name="Column4161" id="4180"/>
    <tableColumn name="Column4162" id="4181"/>
    <tableColumn name="Column4163" id="4182"/>
    <tableColumn name="Column4164" id="4183"/>
    <tableColumn name="Column4165" id="4184"/>
    <tableColumn name="Column4166" id="4185"/>
    <tableColumn name="Column4167" id="4186"/>
    <tableColumn name="Column4168" id="4187"/>
    <tableColumn name="Column4169" id="4188"/>
    <tableColumn name="Column4170" id="4189"/>
    <tableColumn name="Column4171" id="4190"/>
    <tableColumn name="Column4172" id="4191"/>
    <tableColumn name="Column4173" id="4192"/>
    <tableColumn name="Column4174" id="4193"/>
    <tableColumn name="Column4175" id="4194"/>
    <tableColumn name="Column4176" id="4195"/>
    <tableColumn name="Column4177" id="4196"/>
    <tableColumn name="Column4178" id="4197"/>
    <tableColumn name="Column4179" id="4198"/>
    <tableColumn name="Column4180" id="4199"/>
    <tableColumn name="Column4181" id="4200"/>
    <tableColumn name="Column4182" id="4201"/>
    <tableColumn name="Column4183" id="4202"/>
    <tableColumn name="Column4184" id="4203"/>
    <tableColumn name="Column4185" id="4204"/>
    <tableColumn name="Column4186" id="4205"/>
    <tableColumn name="Column4187" id="4206"/>
    <tableColumn name="Column4188" id="4207"/>
    <tableColumn name="Column4189" id="4208"/>
    <tableColumn name="Column4190" id="4209"/>
    <tableColumn name="Column4191" id="4210"/>
    <tableColumn name="Column4192" id="4211"/>
    <tableColumn name="Column4193" id="4212"/>
    <tableColumn name="Column4194" id="4213"/>
    <tableColumn name="Column4195" id="4214"/>
    <tableColumn name="Column4196" id="4215"/>
    <tableColumn name="Column4197" id="4216"/>
    <tableColumn name="Column4198" id="4217"/>
    <tableColumn name="Column4199" id="4218"/>
    <tableColumn name="Column4200" id="4219"/>
    <tableColumn name="Column4201" id="4220"/>
    <tableColumn name="Column4202" id="4221"/>
    <tableColumn name="Column4203" id="4222"/>
    <tableColumn name="Column4204" id="4223"/>
    <tableColumn name="Column4205" id="4224"/>
    <tableColumn name="Column4206" id="4225"/>
    <tableColumn name="Column4207" id="4226"/>
    <tableColumn name="Column4208" id="4227"/>
    <tableColumn name="Column4209" id="4228"/>
    <tableColumn name="Column4210" id="4229"/>
    <tableColumn name="Column4211" id="4230"/>
    <tableColumn name="Column4212" id="4231"/>
    <tableColumn name="Column4213" id="4232"/>
    <tableColumn name="Column4214" id="4233"/>
    <tableColumn name="Column4215" id="4234"/>
    <tableColumn name="Column4216" id="4235"/>
    <tableColumn name="Column4217" id="4236"/>
    <tableColumn name="Column4218" id="4237"/>
    <tableColumn name="Column4219" id="4238"/>
    <tableColumn name="Column4220" id="4239"/>
    <tableColumn name="Column4221" id="4240"/>
    <tableColumn name="Column4222" id="4241"/>
    <tableColumn name="Column4223" id="4242"/>
    <tableColumn name="Column4224" id="4243"/>
    <tableColumn name="Column4225" id="4244"/>
    <tableColumn name="Column4226" id="4245"/>
    <tableColumn name="Column4227" id="4246"/>
    <tableColumn name="Column4228" id="4247"/>
    <tableColumn name="Column4229" id="4248"/>
    <tableColumn name="Column4230" id="4249"/>
    <tableColumn name="Column4231" id="4250"/>
    <tableColumn name="Column4232" id="4251"/>
    <tableColumn name="Column4233" id="4252"/>
    <tableColumn name="Column4234" id="4253"/>
    <tableColumn name="Column4235" id="4254"/>
    <tableColumn name="Column4236" id="4255"/>
    <tableColumn name="Column4237" id="4256"/>
    <tableColumn name="Column4238" id="4257"/>
    <tableColumn name="Column4239" id="4258"/>
    <tableColumn name="Column4240" id="4259"/>
    <tableColumn name="Column4241" id="4260"/>
    <tableColumn name="Column4242" id="4261"/>
    <tableColumn name="Column4243" id="4262"/>
    <tableColumn name="Column4244" id="4263"/>
    <tableColumn name="Column4245" id="4264"/>
    <tableColumn name="Column4246" id="4265"/>
    <tableColumn name="Column4247" id="4266"/>
    <tableColumn name="Column4248" id="4267"/>
    <tableColumn name="Column4249" id="4268"/>
    <tableColumn name="Column4250" id="4269"/>
    <tableColumn name="Column4251" id="4270"/>
    <tableColumn name="Column4252" id="4271"/>
    <tableColumn name="Column4253" id="4272"/>
    <tableColumn name="Column4254" id="4273"/>
    <tableColumn name="Column4255" id="4274"/>
    <tableColumn name="Column4256" id="4275"/>
    <tableColumn name="Column4257" id="4276"/>
    <tableColumn name="Column4258" id="4277"/>
    <tableColumn name="Column4259" id="4278"/>
    <tableColumn name="Column4260" id="4279"/>
    <tableColumn name="Column4261" id="4280"/>
    <tableColumn name="Column4262" id="4281"/>
    <tableColumn name="Column4263" id="4282"/>
    <tableColumn name="Column4264" id="4283"/>
    <tableColumn name="Column4265" id="4284"/>
    <tableColumn name="Column4266" id="4285"/>
    <tableColumn name="Column4267" id="4286"/>
    <tableColumn name="Column4268" id="4287"/>
    <tableColumn name="Column4269" id="4288"/>
    <tableColumn name="Column4270" id="4289"/>
    <tableColumn name="Column4271" id="4290"/>
    <tableColumn name="Column4272" id="4291"/>
    <tableColumn name="Column4273" id="4292"/>
    <tableColumn name="Column4274" id="4293"/>
    <tableColumn name="Column4275" id="4294"/>
    <tableColumn name="Column4276" id="4295"/>
    <tableColumn name="Column4277" id="4296"/>
    <tableColumn name="Column4278" id="4297"/>
    <tableColumn name="Column4279" id="4298"/>
    <tableColumn name="Column4280" id="4299"/>
    <tableColumn name="Column4281" id="4300"/>
    <tableColumn name="Column4282" id="4301"/>
    <tableColumn name="Column4283" id="4302"/>
    <tableColumn name="Column4284" id="4303"/>
    <tableColumn name="Column4285" id="4304"/>
    <tableColumn name="Column4286" id="4305"/>
    <tableColumn name="Column4287" id="4306"/>
    <tableColumn name="Column4288" id="4307"/>
    <tableColumn name="Column4289" id="4308"/>
    <tableColumn name="Column4290" id="4309"/>
    <tableColumn name="Column4291" id="4310"/>
    <tableColumn name="Column4292" id="4311"/>
    <tableColumn name="Column4293" id="4312"/>
    <tableColumn name="Column4294" id="4313"/>
    <tableColumn name="Column4295" id="4314"/>
    <tableColumn name="Column4296" id="4315"/>
    <tableColumn name="Column4297" id="4316"/>
    <tableColumn name="Column4298" id="4317"/>
    <tableColumn name="Column4299" id="4318"/>
    <tableColumn name="Column4300" id="4319"/>
    <tableColumn name="Column4301" id="4320"/>
    <tableColumn name="Column4302" id="4321"/>
    <tableColumn name="Column4303" id="4322"/>
    <tableColumn name="Column4304" id="4323"/>
    <tableColumn name="Column4305" id="4324"/>
    <tableColumn name="Column4306" id="4325"/>
    <tableColumn name="Column4307" id="4326"/>
    <tableColumn name="Column4308" id="4327"/>
    <tableColumn name="Column4309" id="4328"/>
    <tableColumn name="Column4310" id="4329"/>
    <tableColumn name="Column4311" id="4330"/>
    <tableColumn name="Column4312" id="4331"/>
    <tableColumn name="Column4313" id="4332"/>
    <tableColumn name="Column4314" id="4333"/>
    <tableColumn name="Column4315" id="4334"/>
    <tableColumn name="Column4316" id="4335"/>
    <tableColumn name="Column4317" id="4336"/>
    <tableColumn name="Column4318" id="4337"/>
    <tableColumn name="Column4319" id="4338"/>
    <tableColumn name="Column4320" id="4339"/>
    <tableColumn name="Column4321" id="4340"/>
    <tableColumn name="Column4322" id="4341"/>
    <tableColumn name="Column4323" id="4342"/>
    <tableColumn name="Column4324" id="4343"/>
    <tableColumn name="Column4325" id="4344"/>
    <tableColumn name="Column4326" id="4345"/>
    <tableColumn name="Column4327" id="4346"/>
    <tableColumn name="Column4328" id="4347"/>
    <tableColumn name="Column4329" id="4348"/>
    <tableColumn name="Column4330" id="4349"/>
    <tableColumn name="Column4331" id="4350"/>
    <tableColumn name="Column4332" id="4351"/>
    <tableColumn name="Column4333" id="4352"/>
    <tableColumn name="Column4334" id="4353"/>
    <tableColumn name="Column4335" id="4354"/>
    <tableColumn name="Column4336" id="4355"/>
    <tableColumn name="Column4337" id="4356"/>
    <tableColumn name="Column4338" id="4357"/>
    <tableColumn name="Column4339" id="4358"/>
    <tableColumn name="Column4340" id="4359"/>
    <tableColumn name="Column4341" id="4360"/>
    <tableColumn name="Column4342" id="4361"/>
    <tableColumn name="Column4343" id="4362"/>
    <tableColumn name="Column4344" id="4363"/>
    <tableColumn name="Column4345" id="4364"/>
    <tableColumn name="Column4346" id="4365"/>
    <tableColumn name="Column4347" id="4366"/>
    <tableColumn name="Column4348" id="4367"/>
    <tableColumn name="Column4349" id="4368"/>
    <tableColumn name="Column4350" id="4369"/>
    <tableColumn name="Column4351" id="4370"/>
    <tableColumn name="Column4352" id="4371"/>
    <tableColumn name="Column4353" id="4372"/>
    <tableColumn name="Column4354" id="4373"/>
    <tableColumn name="Column4355" id="4374"/>
    <tableColumn name="Column4356" id="4375"/>
    <tableColumn name="Column4357" id="4376"/>
    <tableColumn name="Column4358" id="4377"/>
    <tableColumn name="Column4359" id="4378"/>
    <tableColumn name="Column4360" id="4379"/>
    <tableColumn name="Column4361" id="4380"/>
    <tableColumn name="Column4362" id="4381"/>
    <tableColumn name="Column4363" id="4382"/>
    <tableColumn name="Column4364" id="4383"/>
    <tableColumn name="Column4365" id="4384"/>
    <tableColumn name="Column4366" id="4385"/>
    <tableColumn name="Column4367" id="4386"/>
    <tableColumn name="Column4368" id="4387"/>
    <tableColumn name="Column4369" id="4388"/>
    <tableColumn name="Column4370" id="4389"/>
    <tableColumn name="Column4371" id="4390"/>
    <tableColumn name="Column4372" id="4391"/>
    <tableColumn name="Column4373" id="4392"/>
    <tableColumn name="Column4374" id="4393"/>
    <tableColumn name="Column4375" id="4394"/>
    <tableColumn name="Column4376" id="4395"/>
    <tableColumn name="Column4377" id="4396"/>
    <tableColumn name="Column4378" id="4397"/>
    <tableColumn name="Column4379" id="4398"/>
    <tableColumn name="Column4380" id="4399"/>
    <tableColumn name="Column4381" id="4400"/>
    <tableColumn name="Column4382" id="4401"/>
    <tableColumn name="Column4383" id="4402"/>
    <tableColumn name="Column4384" id="4403"/>
    <tableColumn name="Column4385" id="4404"/>
    <tableColumn name="Column4386" id="4405"/>
    <tableColumn name="Column4387" id="4406"/>
    <tableColumn name="Column4388" id="4407"/>
    <tableColumn name="Column4389" id="4408"/>
    <tableColumn name="Column4390" id="4409"/>
    <tableColumn name="Column4391" id="4410"/>
    <tableColumn name="Column4392" id="4411"/>
    <tableColumn name="Column4393" id="4412"/>
    <tableColumn name="Column4394" id="4413"/>
    <tableColumn name="Column4395" id="4414"/>
    <tableColumn name="Column4396" id="4415"/>
    <tableColumn name="Column4397" id="4416"/>
    <tableColumn name="Column4398" id="4417"/>
    <tableColumn name="Column4399" id="4418"/>
    <tableColumn name="Column4400" id="4419"/>
    <tableColumn name="Column4401" id="4420"/>
    <tableColumn name="Column4402" id="4421"/>
    <tableColumn name="Column4403" id="4422"/>
    <tableColumn name="Column4404" id="4423"/>
    <tableColumn name="Column4405" id="4424"/>
    <tableColumn name="Column4406" id="4425"/>
    <tableColumn name="Column4407" id="4426"/>
    <tableColumn name="Column4408" id="4427"/>
    <tableColumn name="Column4409" id="4428"/>
    <tableColumn name="Column4410" id="4429"/>
    <tableColumn name="Column4411" id="4430"/>
    <tableColumn name="Column4412" id="4431"/>
    <tableColumn name="Column4413" id="4432"/>
    <tableColumn name="Column4414" id="4433"/>
    <tableColumn name="Column4415" id="4434"/>
    <tableColumn name="Column4416" id="4435"/>
    <tableColumn name="Column4417" id="4436"/>
    <tableColumn name="Column4418" id="4437"/>
    <tableColumn name="Column4419" id="4438"/>
    <tableColumn name="Column4420" id="4439"/>
    <tableColumn name="Column4421" id="4440"/>
    <tableColumn name="Column4422" id="4441"/>
    <tableColumn name="Column4423" id="4442"/>
    <tableColumn name="Column4424" id="4443"/>
    <tableColumn name="Column4425" id="4444"/>
    <tableColumn name="Column4426" id="4445"/>
    <tableColumn name="Column4427" id="4446"/>
    <tableColumn name="Column4428" id="4447"/>
    <tableColumn name="Column4429" id="4448"/>
    <tableColumn name="Column4430" id="4449"/>
    <tableColumn name="Column4431" id="4450"/>
    <tableColumn name="Column4432" id="4451"/>
    <tableColumn name="Column4433" id="4452"/>
    <tableColumn name="Column4434" id="4453"/>
    <tableColumn name="Column4435" id="4454"/>
    <tableColumn name="Column4436" id="4455"/>
    <tableColumn name="Column4437" id="4456"/>
    <tableColumn name="Column4438" id="4457"/>
    <tableColumn name="Column4439" id="4458"/>
    <tableColumn name="Column4440" id="4459"/>
    <tableColumn name="Column4441" id="4460"/>
    <tableColumn name="Column4442" id="4461"/>
    <tableColumn name="Column4443" id="4462"/>
    <tableColumn name="Column4444" id="4463"/>
    <tableColumn name="Column4445" id="4464"/>
    <tableColumn name="Column4446" id="4465"/>
    <tableColumn name="Column4447" id="4466"/>
    <tableColumn name="Column4448" id="4467"/>
    <tableColumn name="Column4449" id="4468"/>
    <tableColumn name="Column4450" id="4469"/>
    <tableColumn name="Column4451" id="4470"/>
    <tableColumn name="Column4452" id="4471"/>
    <tableColumn name="Column4453" id="4472"/>
    <tableColumn name="Column4454" id="4473"/>
    <tableColumn name="Column4455" id="4474"/>
    <tableColumn name="Column4456" id="4475"/>
    <tableColumn name="Column4457" id="4476"/>
    <tableColumn name="Column4458" id="4477"/>
    <tableColumn name="Column4459" id="4478"/>
    <tableColumn name="Column4460" id="4479"/>
    <tableColumn name="Column4461" id="4480"/>
    <tableColumn name="Column4462" id="4481"/>
    <tableColumn name="Column4463" id="4482"/>
    <tableColumn name="Column4464" id="4483"/>
    <tableColumn name="Column4465" id="4484"/>
    <tableColumn name="Column4466" id="4485"/>
    <tableColumn name="Column4467" id="4486"/>
    <tableColumn name="Column4468" id="4487"/>
    <tableColumn name="Column4469" id="4488"/>
    <tableColumn name="Column4470" id="4489"/>
    <tableColumn name="Column4471" id="4490"/>
    <tableColumn name="Column4472" id="4491"/>
    <tableColumn name="Column4473" id="4492"/>
    <tableColumn name="Column4474" id="4493"/>
    <tableColumn name="Column4475" id="4494"/>
    <tableColumn name="Column4476" id="4495"/>
    <tableColumn name="Column4477" id="4496"/>
    <tableColumn name="Column4478" id="4497"/>
    <tableColumn name="Column4479" id="4498"/>
    <tableColumn name="Column4480" id="4499"/>
    <tableColumn name="Column4481" id="4500"/>
    <tableColumn name="Column4482" id="4501"/>
    <tableColumn name="Column4483" id="4502"/>
    <tableColumn name="Column4484" id="4503"/>
    <tableColumn name="Column4485" id="4504"/>
    <tableColumn name="Column4486" id="4505"/>
    <tableColumn name="Column4487" id="4506"/>
    <tableColumn name="Column4488" id="4507"/>
    <tableColumn name="Column4489" id="4508"/>
    <tableColumn name="Column4490" id="4509"/>
    <tableColumn name="Column4491" id="4510"/>
    <tableColumn name="Column4492" id="4511"/>
    <tableColumn name="Column4493" id="4512"/>
    <tableColumn name="Column4494" id="4513"/>
    <tableColumn name="Column4495" id="4514"/>
    <tableColumn name="Column4496" id="4515"/>
    <tableColumn name="Column4497" id="4516"/>
    <tableColumn name="Column4498" id="4517"/>
    <tableColumn name="Column4499" id="4518"/>
    <tableColumn name="Column4500" id="4519"/>
    <tableColumn name="Column4501" id="4520"/>
    <tableColumn name="Column4502" id="4521"/>
    <tableColumn name="Column4503" id="4522"/>
    <tableColumn name="Column4504" id="4523"/>
    <tableColumn name="Column4505" id="4524"/>
    <tableColumn name="Column4506" id="4525"/>
    <tableColumn name="Column4507" id="4526"/>
    <tableColumn name="Column4508" id="4527"/>
    <tableColumn name="Column4509" id="4528"/>
    <tableColumn name="Column4510" id="4529"/>
    <tableColumn name="Column4511" id="4530"/>
    <tableColumn name="Column4512" id="4531"/>
    <tableColumn name="Column4513" id="4532"/>
    <tableColumn name="Column4514" id="4533"/>
    <tableColumn name="Column4515" id="4534"/>
    <tableColumn name="Column4516" id="4535"/>
    <tableColumn name="Column4517" id="4536"/>
    <tableColumn name="Column4518" id="4537"/>
    <tableColumn name="Column4519" id="4538"/>
    <tableColumn name="Column4520" id="4539"/>
    <tableColumn name="Column4521" id="4540"/>
    <tableColumn name="Column4522" id="4541"/>
    <tableColumn name="Column4523" id="4542"/>
    <tableColumn name="Column4524" id="4543"/>
    <tableColumn name="Column4525" id="4544"/>
    <tableColumn name="Column4526" id="4545"/>
    <tableColumn name="Column4527" id="4546"/>
    <tableColumn name="Column4528" id="4547"/>
    <tableColumn name="Column4529" id="4548"/>
    <tableColumn name="Column4530" id="4549"/>
    <tableColumn name="Column4531" id="4550"/>
    <tableColumn name="Column4532" id="4551"/>
    <tableColumn name="Column4533" id="4552"/>
    <tableColumn name="Column4534" id="4553"/>
    <tableColumn name="Column4535" id="4554"/>
    <tableColumn name="Column4536" id="4555"/>
    <tableColumn name="Column4537" id="4556"/>
    <tableColumn name="Column4538" id="4557"/>
    <tableColumn name="Column4539" id="4558"/>
    <tableColumn name="Column4540" id="4559"/>
    <tableColumn name="Column4541" id="4560"/>
    <tableColumn name="Column4542" id="4561"/>
    <tableColumn name="Column4543" id="4562"/>
    <tableColumn name="Column4544" id="4563"/>
    <tableColumn name="Column4545" id="4564"/>
    <tableColumn name="Column4546" id="4565"/>
    <tableColumn name="Column4547" id="4566"/>
    <tableColumn name="Column4548" id="4567"/>
    <tableColumn name="Column4549" id="4568"/>
    <tableColumn name="Column4550" id="4569"/>
    <tableColumn name="Column4551" id="4570"/>
    <tableColumn name="Column4552" id="4571"/>
    <tableColumn name="Column4553" id="4572"/>
    <tableColumn name="Column4554" id="4573"/>
    <tableColumn name="Column4555" id="4574"/>
    <tableColumn name="Column4556" id="4575"/>
    <tableColumn name="Column4557" id="4576"/>
    <tableColumn name="Column4558" id="4577"/>
    <tableColumn name="Column4559" id="4578"/>
    <tableColumn name="Column4560" id="4579"/>
    <tableColumn name="Column4561" id="4580"/>
    <tableColumn name="Column4562" id="4581"/>
    <tableColumn name="Column4563" id="4582"/>
    <tableColumn name="Column4564" id="4583"/>
    <tableColumn name="Column4565" id="4584"/>
    <tableColumn name="Column4566" id="4585"/>
    <tableColumn name="Column4567" id="4586"/>
    <tableColumn name="Column4568" id="4587"/>
    <tableColumn name="Column4569" id="4588"/>
    <tableColumn name="Column4570" id="4589"/>
    <tableColumn name="Column4571" id="4590"/>
    <tableColumn name="Column4572" id="4591"/>
    <tableColumn name="Column4573" id="4592"/>
    <tableColumn name="Column4574" id="4593"/>
    <tableColumn name="Column4575" id="4594"/>
    <tableColumn name="Column4576" id="4595"/>
    <tableColumn name="Column4577" id="4596"/>
    <tableColumn name="Column4578" id="4597"/>
    <tableColumn name="Column4579" id="4598"/>
    <tableColumn name="Column4580" id="4599"/>
    <tableColumn name="Column4581" id="4600"/>
    <tableColumn name="Column4582" id="4601"/>
    <tableColumn name="Column4583" id="4602"/>
    <tableColumn name="Column4584" id="4603"/>
    <tableColumn name="Column4585" id="4604"/>
    <tableColumn name="Column4586" id="4605"/>
    <tableColumn name="Column4587" id="4606"/>
    <tableColumn name="Column4588" id="4607"/>
    <tableColumn name="Column4589" id="4608"/>
    <tableColumn name="Column4590" id="4609"/>
    <tableColumn name="Column4591" id="4610"/>
    <tableColumn name="Column4592" id="4611"/>
    <tableColumn name="Column4593" id="4612"/>
    <tableColumn name="Column4594" id="4613"/>
    <tableColumn name="Column4595" id="4614"/>
    <tableColumn name="Column4596" id="4615"/>
    <tableColumn name="Column4597" id="4616"/>
    <tableColumn name="Column4598" id="4617"/>
    <tableColumn name="Column4599" id="4618"/>
    <tableColumn name="Column4600" id="4619"/>
    <tableColumn name="Column4601" id="4620"/>
    <tableColumn name="Column4602" id="4621"/>
    <tableColumn name="Column4603" id="4622"/>
    <tableColumn name="Column4604" id="4623"/>
    <tableColumn name="Column4605" id="4624"/>
    <tableColumn name="Column4606" id="4625"/>
    <tableColumn name="Column4607" id="4626"/>
    <tableColumn name="Column4608" id="4627"/>
    <tableColumn name="Column4609" id="4628"/>
    <tableColumn name="Column4610" id="4629"/>
    <tableColumn name="Column4611" id="4630"/>
    <tableColumn name="Column4612" id="4631"/>
    <tableColumn name="Column4613" id="4632"/>
    <tableColumn name="Column4614" id="4633"/>
    <tableColumn name="Column4615" id="4634"/>
    <tableColumn name="Column4616" id="4635"/>
    <tableColumn name="Column4617" id="4636"/>
    <tableColumn name="Column4618" id="4637"/>
    <tableColumn name="Column4619" id="4638"/>
    <tableColumn name="Column4620" id="4639"/>
    <tableColumn name="Column4621" id="4640"/>
    <tableColumn name="Column4622" id="4641"/>
    <tableColumn name="Column4623" id="4642"/>
    <tableColumn name="Column4624" id="4643"/>
    <tableColumn name="Column4625" id="4644"/>
    <tableColumn name="Column4626" id="4645"/>
    <tableColumn name="Column4627" id="4646"/>
    <tableColumn name="Column4628" id="4647"/>
    <tableColumn name="Column4629" id="4648"/>
    <tableColumn name="Column4630" id="4649"/>
    <tableColumn name="Column4631" id="4650"/>
    <tableColumn name="Column4632" id="4651"/>
    <tableColumn name="Column4633" id="4652"/>
    <tableColumn name="Column4634" id="4653"/>
    <tableColumn name="Column4635" id="4654"/>
    <tableColumn name="Column4636" id="4655"/>
    <tableColumn name="Column4637" id="4656"/>
    <tableColumn name="Column4638" id="4657"/>
    <tableColumn name="Column4639" id="4658"/>
    <tableColumn name="Column4640" id="4659"/>
    <tableColumn name="Column4641" id="4660"/>
    <tableColumn name="Column4642" id="4661"/>
    <tableColumn name="Column4643" id="4662"/>
    <tableColumn name="Column4644" id="4663"/>
    <tableColumn name="Column4645" id="4664"/>
    <tableColumn name="Column4646" id="4665"/>
    <tableColumn name="Column4647" id="4666"/>
    <tableColumn name="Column4648" id="4667"/>
    <tableColumn name="Column4649" id="4668"/>
    <tableColumn name="Column4650" id="4669"/>
    <tableColumn name="Column4651" id="4670"/>
    <tableColumn name="Column4652" id="4671"/>
    <tableColumn name="Column4653" id="4672"/>
    <tableColumn name="Column4654" id="4673"/>
    <tableColumn name="Column4655" id="4674"/>
    <tableColumn name="Column4656" id="4675"/>
    <tableColumn name="Column4657" id="4676"/>
    <tableColumn name="Column4658" id="4677"/>
    <tableColumn name="Column4659" id="4678"/>
    <tableColumn name="Column4660" id="4679"/>
    <tableColumn name="Column4661" id="4680"/>
    <tableColumn name="Column4662" id="4681"/>
    <tableColumn name="Column4663" id="4682"/>
    <tableColumn name="Column4664" id="4683"/>
    <tableColumn name="Column4665" id="4684"/>
    <tableColumn name="Column4666" id="4685"/>
    <tableColumn name="Column4667" id="4686"/>
    <tableColumn name="Column4668" id="4687"/>
    <tableColumn name="Column4669" id="4688"/>
    <tableColumn name="Column4670" id="4689"/>
    <tableColumn name="Column4671" id="4690"/>
    <tableColumn name="Column4672" id="4691"/>
    <tableColumn name="Column4673" id="4692"/>
    <tableColumn name="Column4674" id="4693"/>
    <tableColumn name="Column4675" id="4694"/>
    <tableColumn name="Column4676" id="4695"/>
    <tableColumn name="Column4677" id="4696"/>
    <tableColumn name="Column4678" id="4697"/>
    <tableColumn name="Column4679" id="4698"/>
    <tableColumn name="Column4680" id="4699"/>
    <tableColumn name="Column4681" id="4700"/>
    <tableColumn name="Column4682" id="4701"/>
    <tableColumn name="Column4683" id="4702"/>
    <tableColumn name="Column4684" id="4703"/>
    <tableColumn name="Column4685" id="4704"/>
    <tableColumn name="Column4686" id="4705"/>
    <tableColumn name="Column4687" id="4706"/>
    <tableColumn name="Column4688" id="4707"/>
    <tableColumn name="Column4689" id="4708"/>
    <tableColumn name="Column4690" id="4709"/>
    <tableColumn name="Column4691" id="4710"/>
    <tableColumn name="Column4692" id="4711"/>
    <tableColumn name="Column4693" id="4712"/>
    <tableColumn name="Column4694" id="4713"/>
    <tableColumn name="Column4695" id="4714"/>
    <tableColumn name="Column4696" id="4715"/>
    <tableColumn name="Column4697" id="4716"/>
    <tableColumn name="Column4698" id="4717"/>
    <tableColumn name="Column4699" id="4718"/>
    <tableColumn name="Column4700" id="4719"/>
    <tableColumn name="Column4701" id="4720"/>
    <tableColumn name="Column4702" id="4721"/>
    <tableColumn name="Column4703" id="4722"/>
    <tableColumn name="Column4704" id="4723"/>
    <tableColumn name="Column4705" id="4724"/>
    <tableColumn name="Column4706" id="4725"/>
    <tableColumn name="Column4707" id="4726"/>
    <tableColumn name="Column4708" id="4727"/>
    <tableColumn name="Column4709" id="4728"/>
    <tableColumn name="Column4710" id="4729"/>
    <tableColumn name="Column4711" id="4730"/>
    <tableColumn name="Column4712" id="4731"/>
    <tableColumn name="Column4713" id="4732"/>
    <tableColumn name="Column4714" id="4733"/>
    <tableColumn name="Column4715" id="4734"/>
    <tableColumn name="Column4716" id="4735"/>
    <tableColumn name="Column4717" id="4736"/>
    <tableColumn name="Column4718" id="4737"/>
    <tableColumn name="Column4719" id="4738"/>
    <tableColumn name="Column4720" id="4739"/>
    <tableColumn name="Column4721" id="4740"/>
    <tableColumn name="Column4722" id="4741"/>
    <tableColumn name="Column4723" id="4742"/>
    <tableColumn name="Column4724" id="4743"/>
    <tableColumn name="Column4725" id="4744"/>
    <tableColumn name="Column4726" id="4745"/>
    <tableColumn name="Column4727" id="4746"/>
    <tableColumn name="Column4728" id="4747"/>
    <tableColumn name="Column4729" id="4748"/>
    <tableColumn name="Column4730" id="4749"/>
    <tableColumn name="Column4731" id="4750"/>
    <tableColumn name="Column4732" id="4751"/>
    <tableColumn name="Column4733" id="4752"/>
    <tableColumn name="Column4734" id="4753"/>
    <tableColumn name="Column4735" id="4754"/>
    <tableColumn name="Column4736" id="4755"/>
    <tableColumn name="Column4737" id="4756"/>
    <tableColumn name="Column4738" id="4757"/>
    <tableColumn name="Column4739" id="4758"/>
    <tableColumn name="Column4740" id="4759"/>
    <tableColumn name="Column4741" id="4760"/>
    <tableColumn name="Column4742" id="4761"/>
    <tableColumn name="Column4743" id="4762"/>
    <tableColumn name="Column4744" id="4763"/>
    <tableColumn name="Column4745" id="4764"/>
    <tableColumn name="Column4746" id="4765"/>
    <tableColumn name="Column4747" id="4766"/>
    <tableColumn name="Column4748" id="4767"/>
    <tableColumn name="Column4749" id="4768"/>
    <tableColumn name="Column4750" id="4769"/>
    <tableColumn name="Column4751" id="4770"/>
    <tableColumn name="Column4752" id="4771"/>
    <tableColumn name="Column4753" id="4772"/>
    <tableColumn name="Column4754" id="4773"/>
    <tableColumn name="Column4755" id="4774"/>
    <tableColumn name="Column4756" id="4775"/>
    <tableColumn name="Column4757" id="4776"/>
    <tableColumn name="Column4758" id="4777"/>
    <tableColumn name="Column4759" id="4778"/>
    <tableColumn name="Column4760" id="4779"/>
    <tableColumn name="Column4761" id="4780"/>
    <tableColumn name="Column4762" id="4781"/>
    <tableColumn name="Column4763" id="4782"/>
    <tableColumn name="Column4764" id="4783"/>
    <tableColumn name="Column4765" id="4784"/>
    <tableColumn name="Column4766" id="4785"/>
    <tableColumn name="Column4767" id="4786"/>
    <tableColumn name="Column4768" id="4787"/>
    <tableColumn name="Column4769" id="4788"/>
    <tableColumn name="Column4770" id="4789"/>
    <tableColumn name="Column4771" id="4790"/>
    <tableColumn name="Column4772" id="4791"/>
    <tableColumn name="Column4773" id="4792"/>
    <tableColumn name="Column4774" id="4793"/>
    <tableColumn name="Column4775" id="4794"/>
    <tableColumn name="Column4776" id="4795"/>
    <tableColumn name="Column4777" id="4796"/>
    <tableColumn name="Column4778" id="4797"/>
    <tableColumn name="Column4779" id="4798"/>
    <tableColumn name="Column4780" id="4799"/>
    <tableColumn name="Column4781" id="4800"/>
    <tableColumn name="Column4782" id="4801"/>
    <tableColumn name="Column4783" id="4802"/>
    <tableColumn name="Column4784" id="4803"/>
    <tableColumn name="Column4785" id="4804"/>
    <tableColumn name="Column4786" id="4805"/>
    <tableColumn name="Column4787" id="4806"/>
    <tableColumn name="Column4788" id="4807"/>
    <tableColumn name="Column4789" id="4808"/>
    <tableColumn name="Column4790" id="4809"/>
    <tableColumn name="Column4791" id="4810"/>
    <tableColumn name="Column4792" id="4811"/>
    <tableColumn name="Column4793" id="4812"/>
    <tableColumn name="Column4794" id="4813"/>
    <tableColumn name="Column4795" id="4814"/>
    <tableColumn name="Column4796" id="4815"/>
    <tableColumn name="Column4797" id="4816"/>
    <tableColumn name="Column4798" id="4817"/>
    <tableColumn name="Column4799" id="4818"/>
    <tableColumn name="Column4800" id="4819"/>
    <tableColumn name="Column4801" id="4820"/>
    <tableColumn name="Column4802" id="4821"/>
    <tableColumn name="Column4803" id="4822"/>
    <tableColumn name="Column4804" id="4823"/>
    <tableColumn name="Column4805" id="4824"/>
    <tableColumn name="Column4806" id="4825"/>
    <tableColumn name="Column4807" id="4826"/>
    <tableColumn name="Column4808" id="4827"/>
    <tableColumn name="Column4809" id="4828"/>
    <tableColumn name="Column4810" id="4829"/>
    <tableColumn name="Column4811" id="4830"/>
    <tableColumn name="Column4812" id="4831"/>
    <tableColumn name="Column4813" id="4832"/>
    <tableColumn name="Column4814" id="4833"/>
    <tableColumn name="Column4815" id="4834"/>
    <tableColumn name="Column4816" id="4835"/>
    <tableColumn name="Column4817" id="4836"/>
    <tableColumn name="Column4818" id="4837"/>
    <tableColumn name="Column4819" id="4838"/>
    <tableColumn name="Column4820" id="4839"/>
    <tableColumn name="Column4821" id="4840"/>
    <tableColumn name="Column4822" id="4841"/>
    <tableColumn name="Column4823" id="4842"/>
    <tableColumn name="Column4824" id="4843"/>
    <tableColumn name="Column4825" id="4844"/>
    <tableColumn name="Column4826" id="4845"/>
    <tableColumn name="Column4827" id="4846"/>
    <tableColumn name="Column4828" id="4847"/>
    <tableColumn name="Column4829" id="4848"/>
    <tableColumn name="Column4830" id="4849"/>
    <tableColumn name="Column4831" id="4850"/>
    <tableColumn name="Column4832" id="4851"/>
    <tableColumn name="Column4833" id="4852"/>
    <tableColumn name="Column4834" id="4853"/>
    <tableColumn name="Column4835" id="4854"/>
    <tableColumn name="Column4836" id="4855"/>
    <tableColumn name="Column4837" id="4856"/>
    <tableColumn name="Column4838" id="4857"/>
    <tableColumn name="Column4839" id="4858"/>
    <tableColumn name="Column4840" id="4859"/>
    <tableColumn name="Column4841" id="4860"/>
    <tableColumn name="Column4842" id="4861"/>
    <tableColumn name="Column4843" id="4862"/>
    <tableColumn name="Column4844" id="4863"/>
    <tableColumn name="Column4845" id="4864"/>
    <tableColumn name="Column4846" id="4865"/>
    <tableColumn name="Column4847" id="4866"/>
    <tableColumn name="Column4848" id="4867"/>
    <tableColumn name="Column4849" id="4868"/>
    <tableColumn name="Column4850" id="4869"/>
    <tableColumn name="Column4851" id="4870"/>
    <tableColumn name="Column4852" id="4871"/>
    <tableColumn name="Column4853" id="4872"/>
    <tableColumn name="Column4854" id="4873"/>
    <tableColumn name="Column4855" id="4874"/>
    <tableColumn name="Column4856" id="4875"/>
    <tableColumn name="Column4857" id="4876"/>
    <tableColumn name="Column4858" id="4877"/>
    <tableColumn name="Column4859" id="4878"/>
    <tableColumn name="Column4860" id="4879"/>
    <tableColumn name="Column4861" id="4880"/>
    <tableColumn name="Column4862" id="4881"/>
    <tableColumn name="Column4863" id="4882"/>
    <tableColumn name="Column4864" id="4883"/>
    <tableColumn name="Column4865" id="4884"/>
    <tableColumn name="Column4866" id="4885"/>
    <tableColumn name="Column4867" id="4886"/>
    <tableColumn name="Column4868" id="4887"/>
    <tableColumn name="Column4869" id="4888"/>
    <tableColumn name="Column4870" id="4889"/>
    <tableColumn name="Column4871" id="4890"/>
    <tableColumn name="Column4872" id="4891"/>
    <tableColumn name="Column4873" id="4892"/>
    <tableColumn name="Column4874" id="4893"/>
    <tableColumn name="Column4875" id="4894"/>
    <tableColumn name="Column4876" id="4895"/>
    <tableColumn name="Column4877" id="4896"/>
    <tableColumn name="Column4878" id="4897"/>
    <tableColumn name="Column4879" id="4898"/>
    <tableColumn name="Column4880" id="4899"/>
    <tableColumn name="Column4881" id="4900"/>
    <tableColumn name="Column4882" id="4901"/>
    <tableColumn name="Column4883" id="4902"/>
    <tableColumn name="Column4884" id="4903"/>
    <tableColumn name="Column4885" id="4904"/>
    <tableColumn name="Column4886" id="4905"/>
    <tableColumn name="Column4887" id="4906"/>
    <tableColumn name="Column4888" id="4907"/>
    <tableColumn name="Column4889" id="4908"/>
    <tableColumn name="Column4890" id="4909"/>
    <tableColumn name="Column4891" id="4910"/>
    <tableColumn name="Column4892" id="4911"/>
    <tableColumn name="Column4893" id="4912"/>
    <tableColumn name="Column4894" id="4913"/>
    <tableColumn name="Column4895" id="4914"/>
    <tableColumn name="Column4896" id="4915"/>
    <tableColumn name="Column4897" id="4916"/>
    <tableColumn name="Column4898" id="4917"/>
    <tableColumn name="Column4899" id="4918"/>
    <tableColumn name="Column4900" id="4919"/>
    <tableColumn name="Column4901" id="4920"/>
    <tableColumn name="Column4902" id="4921"/>
    <tableColumn name="Column4903" id="4922"/>
    <tableColumn name="Column4904" id="4923"/>
    <tableColumn name="Column4905" id="4924"/>
    <tableColumn name="Column4906" id="4925"/>
    <tableColumn name="Column4907" id="4926"/>
    <tableColumn name="Column4908" id="4927"/>
    <tableColumn name="Column4909" id="4928"/>
    <tableColumn name="Column4910" id="4929"/>
    <tableColumn name="Column4911" id="4930"/>
    <tableColumn name="Column4912" id="4931"/>
    <tableColumn name="Column4913" id="4932"/>
    <tableColumn name="Column4914" id="4933"/>
    <tableColumn name="Column4915" id="4934"/>
    <tableColumn name="Column4916" id="4935"/>
    <tableColumn name="Column4917" id="4936"/>
    <tableColumn name="Column4918" id="4937"/>
    <tableColumn name="Column4919" id="4938"/>
    <tableColumn name="Column4920" id="4939"/>
    <tableColumn name="Column4921" id="4940"/>
    <tableColumn name="Column4922" id="4941"/>
    <tableColumn name="Column4923" id="4942"/>
    <tableColumn name="Column4924" id="4943"/>
    <tableColumn name="Column4925" id="4944"/>
    <tableColumn name="Column4926" id="4945"/>
    <tableColumn name="Column4927" id="4946"/>
    <tableColumn name="Column4928" id="4947"/>
    <tableColumn name="Column4929" id="4948"/>
    <tableColumn name="Column4930" id="4949"/>
    <tableColumn name="Column4931" id="4950"/>
    <tableColumn name="Column4932" id="4951"/>
    <tableColumn name="Column4933" id="4952"/>
    <tableColumn name="Column4934" id="4953"/>
    <tableColumn name="Column4935" id="4954"/>
    <tableColumn name="Column4936" id="4955"/>
    <tableColumn name="Column4937" id="4956"/>
    <tableColumn name="Column4938" id="4957"/>
    <tableColumn name="Column4939" id="4958"/>
    <tableColumn name="Column4940" id="4959"/>
    <tableColumn name="Column4941" id="4960"/>
    <tableColumn name="Column4942" id="4961"/>
    <tableColumn name="Column4943" id="4962"/>
    <tableColumn name="Column4944" id="4963"/>
    <tableColumn name="Column4945" id="4964"/>
    <tableColumn name="Column4946" id="4965"/>
    <tableColumn name="Column4947" id="4966"/>
    <tableColumn name="Column4948" id="4967"/>
    <tableColumn name="Column4949" id="4968"/>
    <tableColumn name="Column4950" id="4969"/>
    <tableColumn name="Column4951" id="4970"/>
    <tableColumn name="Column4952" id="4971"/>
    <tableColumn name="Column4953" id="4972"/>
    <tableColumn name="Column4954" id="4973"/>
    <tableColumn name="Column4955" id="4974"/>
    <tableColumn name="Column4956" id="4975"/>
    <tableColumn name="Column4957" id="4976"/>
    <tableColumn name="Column4958" id="4977"/>
    <tableColumn name="Column4959" id="4978"/>
    <tableColumn name="Column4960" id="4979"/>
    <tableColumn name="Column4961" id="4980"/>
    <tableColumn name="Column4962" id="4981"/>
    <tableColumn name="Column4963" id="4982"/>
    <tableColumn name="Column4964" id="4983"/>
    <tableColumn name="Column4965" id="4984"/>
    <tableColumn name="Column4966" id="4985"/>
    <tableColumn name="Column4967" id="4986"/>
    <tableColumn name="Column4968" id="4987"/>
    <tableColumn name="Column4969" id="4988"/>
    <tableColumn name="Column4970" id="4989"/>
    <tableColumn name="Column4971" id="4990"/>
    <tableColumn name="Column4972" id="4991"/>
    <tableColumn name="Column4973" id="4992"/>
    <tableColumn name="Column4974" id="4993"/>
    <tableColumn name="Column4975" id="4994"/>
    <tableColumn name="Column4976" id="4995"/>
    <tableColumn name="Column4977" id="4996"/>
    <tableColumn name="Column4978" id="4997"/>
    <tableColumn name="Column4979" id="4998"/>
    <tableColumn name="Column4980" id="4999"/>
    <tableColumn name="Column4981" id="5000"/>
    <tableColumn name="Column4982" id="5001"/>
    <tableColumn name="Column4983" id="5002"/>
    <tableColumn name="Column4984" id="5003"/>
    <tableColumn name="Column4985" id="5004"/>
    <tableColumn name="Column4986" id="5005"/>
    <tableColumn name="Column4987" id="5006"/>
    <tableColumn name="Column4988" id="5007"/>
    <tableColumn name="Column4989" id="5008"/>
    <tableColumn name="Column4990" id="5009"/>
    <tableColumn name="Column4991" id="5010"/>
    <tableColumn name="Column4992" id="5011"/>
    <tableColumn name="Column4993" id="5012"/>
    <tableColumn name="Column4994" id="5013"/>
    <tableColumn name="Column4995" id="5014"/>
    <tableColumn name="Column4996" id="5015"/>
    <tableColumn name="Column4997" id="5016"/>
    <tableColumn name="Column4998" id="5017"/>
    <tableColumn name="Column4999" id="5018"/>
    <tableColumn name="Column5000" id="5019"/>
    <tableColumn name="Column5001" id="5020"/>
    <tableColumn name="Column5002" id="5021"/>
    <tableColumn name="Column5003" id="5022"/>
    <tableColumn name="Column5004" id="5023"/>
    <tableColumn name="Column5005" id="5024"/>
    <tableColumn name="Column5006" id="5025"/>
    <tableColumn name="Column5007" id="5026"/>
    <tableColumn name="Column5008" id="5027"/>
    <tableColumn name="Column5009" id="5028"/>
    <tableColumn name="Column5010" id="5029"/>
    <tableColumn name="Column5011" id="5030"/>
    <tableColumn name="Column5012" id="5031"/>
    <tableColumn name="Column5013" id="5032"/>
    <tableColumn name="Column5014" id="5033"/>
    <tableColumn name="Column5015" id="5034"/>
    <tableColumn name="Column5016" id="5035"/>
    <tableColumn name="Column5017" id="5036"/>
    <tableColumn name="Column5018" id="5037"/>
    <tableColumn name="Column5019" id="5038"/>
    <tableColumn name="Column5020" id="5039"/>
    <tableColumn name="Column5021" id="5040"/>
    <tableColumn name="Column5022" id="5041"/>
    <tableColumn name="Column5023" id="5042"/>
    <tableColumn name="Column5024" id="5043"/>
    <tableColumn name="Column5025" id="5044"/>
    <tableColumn name="Column5026" id="5045"/>
    <tableColumn name="Column5027" id="5046"/>
    <tableColumn name="Column5028" id="5047"/>
    <tableColumn name="Column5029" id="5048"/>
    <tableColumn name="Column5030" id="5049"/>
    <tableColumn name="Column5031" id="5050"/>
    <tableColumn name="Column5032" id="5051"/>
    <tableColumn name="Column5033" id="5052"/>
    <tableColumn name="Column5034" id="5053"/>
    <tableColumn name="Column5035" id="5054"/>
    <tableColumn name="Column5036" id="5055"/>
    <tableColumn name="Column5037" id="5056"/>
    <tableColumn name="Column5038" id="5057"/>
    <tableColumn name="Column5039" id="5058"/>
    <tableColumn name="Column5040" id="5059"/>
    <tableColumn name="Column5041" id="5060"/>
    <tableColumn name="Column5042" id="5061"/>
    <tableColumn name="Column5043" id="5062"/>
    <tableColumn name="Column5044" id="5063"/>
    <tableColumn name="Column5045" id="5064"/>
    <tableColumn name="Column5046" id="5065"/>
    <tableColumn name="Column5047" id="5066"/>
    <tableColumn name="Column5048" id="5067"/>
    <tableColumn name="Column5049" id="5068"/>
    <tableColumn name="Column5050" id="5069"/>
    <tableColumn name="Column5051" id="5070"/>
    <tableColumn name="Column5052" id="5071"/>
    <tableColumn name="Column5053" id="5072"/>
    <tableColumn name="Column5054" id="5073"/>
    <tableColumn name="Column5055" id="5074"/>
    <tableColumn name="Column5056" id="5075"/>
    <tableColumn name="Column5057" id="5076"/>
    <tableColumn name="Column5058" id="5077"/>
    <tableColumn name="Column5059" id="5078"/>
    <tableColumn name="Column5060" id="5079"/>
    <tableColumn name="Column5061" id="5080"/>
    <tableColumn name="Column5062" id="5081"/>
    <tableColumn name="Column5063" id="5082"/>
    <tableColumn name="Column5064" id="5083"/>
    <tableColumn name="Column5065" id="5084"/>
    <tableColumn name="Column5066" id="5085"/>
    <tableColumn name="Column5067" id="5086"/>
    <tableColumn name="Column5068" id="5087"/>
    <tableColumn name="Column5069" id="5088"/>
    <tableColumn name="Column5070" id="5089"/>
    <tableColumn name="Column5071" id="5090"/>
    <tableColumn name="Column5072" id="5091"/>
    <tableColumn name="Column5073" id="5092"/>
    <tableColumn name="Column5074" id="5093"/>
    <tableColumn name="Column5075" id="5094"/>
    <tableColumn name="Column5076" id="5095"/>
    <tableColumn name="Column5077" id="5096"/>
    <tableColumn name="Column5078" id="5097"/>
    <tableColumn name="Column5079" id="5098"/>
    <tableColumn name="Column5080" id="5099"/>
    <tableColumn name="Column5081" id="5100"/>
    <tableColumn name="Column5082" id="5101"/>
    <tableColumn name="Column5083" id="5102"/>
    <tableColumn name="Column5084" id="5103"/>
    <tableColumn name="Column5085" id="5104"/>
    <tableColumn name="Column5086" id="5105"/>
    <tableColumn name="Column5087" id="5106"/>
    <tableColumn name="Column5088" id="5107"/>
    <tableColumn name="Column5089" id="5108"/>
    <tableColumn name="Column5090" id="5109"/>
    <tableColumn name="Column5091" id="5110"/>
    <tableColumn name="Column5092" id="5111"/>
    <tableColumn name="Column5093" id="5112"/>
    <tableColumn name="Column5094" id="5113"/>
    <tableColumn name="Column5095" id="5114"/>
    <tableColumn name="Column5096" id="5115"/>
    <tableColumn name="Column5097" id="5116"/>
    <tableColumn name="Column5098" id="5117"/>
    <tableColumn name="Column5099" id="5118"/>
    <tableColumn name="Column5100" id="5119"/>
    <tableColumn name="Column5101" id="5120"/>
    <tableColumn name="Column5102" id="5121"/>
    <tableColumn name="Column5103" id="5122"/>
    <tableColumn name="Column5104" id="5123"/>
    <tableColumn name="Column5105" id="5124"/>
    <tableColumn name="Column5106" id="5125"/>
    <tableColumn name="Column5107" id="5126"/>
    <tableColumn name="Column5108" id="5127"/>
    <tableColumn name="Column5109" id="5128"/>
    <tableColumn name="Column5110" id="5129"/>
    <tableColumn name="Column5111" id="5130"/>
    <tableColumn name="Column5112" id="5131"/>
    <tableColumn name="Column5113" id="5132"/>
    <tableColumn name="Column5114" id="5133"/>
    <tableColumn name="Column5115" id="5134"/>
    <tableColumn name="Column5116" id="5135"/>
    <tableColumn name="Column5117" id="5136"/>
    <tableColumn name="Column5118" id="5137"/>
    <tableColumn name="Column5119" id="5138"/>
    <tableColumn name="Column5120" id="5139"/>
    <tableColumn name="Column5121" id="5140"/>
    <tableColumn name="Column5122" id="5141"/>
    <tableColumn name="Column5123" id="5142"/>
    <tableColumn name="Column5124" id="5143"/>
    <tableColumn name="Column5125" id="5144"/>
    <tableColumn name="Column5126" id="5145"/>
    <tableColumn name="Column5127" id="5146"/>
    <tableColumn name="Column5128" id="5147"/>
    <tableColumn name="Column5129" id="5148"/>
    <tableColumn name="Column5130" id="5149"/>
    <tableColumn name="Column5131" id="5150"/>
    <tableColumn name="Column5132" id="5151"/>
    <tableColumn name="Column5133" id="5152"/>
    <tableColumn name="Column5134" id="5153"/>
    <tableColumn name="Column5135" id="5154"/>
    <tableColumn name="Column5136" id="5155"/>
    <tableColumn name="Column5137" id="5156"/>
    <tableColumn name="Column5138" id="5157"/>
    <tableColumn name="Column5139" id="5158"/>
    <tableColumn name="Column5140" id="5159"/>
    <tableColumn name="Column5141" id="5160"/>
    <tableColumn name="Column5142" id="5161"/>
    <tableColumn name="Column5143" id="5162"/>
    <tableColumn name="Column5144" id="5163"/>
    <tableColumn name="Column5145" id="5164"/>
    <tableColumn name="Column5146" id="5165"/>
    <tableColumn name="Column5147" id="5166"/>
    <tableColumn name="Column5148" id="5167"/>
    <tableColumn name="Column5149" id="5168"/>
    <tableColumn name="Column5150" id="5169"/>
    <tableColumn name="Column5151" id="5170"/>
    <tableColumn name="Column5152" id="5171"/>
    <tableColumn name="Column5153" id="5172"/>
    <tableColumn name="Column5154" id="5173"/>
    <tableColumn name="Column5155" id="5174"/>
    <tableColumn name="Column5156" id="5175"/>
    <tableColumn name="Column5157" id="5176"/>
    <tableColumn name="Column5158" id="5177"/>
    <tableColumn name="Column5159" id="5178"/>
    <tableColumn name="Column5160" id="5179"/>
    <tableColumn name="Column5161" id="5180"/>
    <tableColumn name="Column5162" id="5181"/>
    <tableColumn name="Column5163" id="5182"/>
    <tableColumn name="Column5164" id="5183"/>
    <tableColumn name="Column5165" id="5184"/>
    <tableColumn name="Column5166" id="5185"/>
    <tableColumn name="Column5167" id="5186"/>
    <tableColumn name="Column5168" id="5187"/>
    <tableColumn name="Column5169" id="5188"/>
    <tableColumn name="Column5170" id="5189"/>
    <tableColumn name="Column5171" id="5190"/>
    <tableColumn name="Column5172" id="5191"/>
    <tableColumn name="Column5173" id="5192"/>
    <tableColumn name="Column5174" id="5193"/>
    <tableColumn name="Column5175" id="5194"/>
    <tableColumn name="Column5176" id="5195"/>
    <tableColumn name="Column5177" id="5196"/>
    <tableColumn name="Column5178" id="5197"/>
    <tableColumn name="Column5179" id="5198"/>
    <tableColumn name="Column5180" id="5199"/>
    <tableColumn name="Column5181" id="5200"/>
    <tableColumn name="Column5182" id="5201"/>
    <tableColumn name="Column5183" id="5202"/>
    <tableColumn name="Column5184" id="5203"/>
    <tableColumn name="Column5185" id="5204"/>
    <tableColumn name="Column5186" id="5205"/>
    <tableColumn name="Column5187" id="5206"/>
    <tableColumn name="Column5188" id="5207"/>
    <tableColumn name="Column5189" id="5208"/>
    <tableColumn name="Column5190" id="5209"/>
    <tableColumn name="Column5191" id="5210"/>
    <tableColumn name="Column5192" id="5211"/>
    <tableColumn name="Column5193" id="5212"/>
    <tableColumn name="Column5194" id="5213"/>
    <tableColumn name="Column5195" id="5214"/>
    <tableColumn name="Column5196" id="5215"/>
    <tableColumn name="Column5197" id="5216"/>
    <tableColumn name="Column5198" id="5217"/>
    <tableColumn name="Column5199" id="5218"/>
    <tableColumn name="Column5200" id="5219"/>
    <tableColumn name="Column5201" id="5220"/>
    <tableColumn name="Column5202" id="5221"/>
    <tableColumn name="Column5203" id="5222"/>
    <tableColumn name="Column5204" id="5223"/>
    <tableColumn name="Column5205" id="5224"/>
    <tableColumn name="Column5206" id="5225"/>
    <tableColumn name="Column5207" id="5226"/>
    <tableColumn name="Column5208" id="5227"/>
    <tableColumn name="Column5209" id="5228"/>
    <tableColumn name="Column5210" id="5229"/>
    <tableColumn name="Column5211" id="5230"/>
    <tableColumn name="Column5212" id="5231"/>
    <tableColumn name="Column5213" id="5232"/>
    <tableColumn name="Column5214" id="5233"/>
    <tableColumn name="Column5215" id="5234"/>
    <tableColumn name="Column5216" id="5235"/>
    <tableColumn name="Column5217" id="5236"/>
    <tableColumn name="Column5218" id="5237"/>
    <tableColumn name="Column5219" id="5238"/>
    <tableColumn name="Column5220" id="5239"/>
    <tableColumn name="Column5221" id="5240"/>
    <tableColumn name="Column5222" id="5241"/>
    <tableColumn name="Column5223" id="5242"/>
    <tableColumn name="Column5224" id="5243"/>
    <tableColumn name="Column5225" id="5244"/>
    <tableColumn name="Column5226" id="5245"/>
    <tableColumn name="Column5227" id="5246"/>
    <tableColumn name="Column5228" id="5247"/>
    <tableColumn name="Column5229" id="5248"/>
    <tableColumn name="Column5230" id="5249"/>
    <tableColumn name="Column5231" id="5250"/>
    <tableColumn name="Column5232" id="5251"/>
    <tableColumn name="Column5233" id="5252"/>
    <tableColumn name="Column5234" id="5253"/>
    <tableColumn name="Column5235" id="5254"/>
    <tableColumn name="Column5236" id="5255"/>
    <tableColumn name="Column5237" id="5256"/>
    <tableColumn name="Column5238" id="5257"/>
    <tableColumn name="Column5239" id="5258"/>
    <tableColumn name="Column5240" id="5259"/>
    <tableColumn name="Column5241" id="5260"/>
    <tableColumn name="Column5242" id="5261"/>
    <tableColumn name="Column5243" id="5262"/>
    <tableColumn name="Column5244" id="5263"/>
    <tableColumn name="Column5245" id="5264"/>
    <tableColumn name="Column5246" id="5265"/>
    <tableColumn name="Column5247" id="5266"/>
    <tableColumn name="Column5248" id="5267"/>
    <tableColumn name="Column5249" id="5268"/>
    <tableColumn name="Column5250" id="5269"/>
    <tableColumn name="Column5251" id="5270"/>
    <tableColumn name="Column5252" id="5271"/>
    <tableColumn name="Column5253" id="5272"/>
    <tableColumn name="Column5254" id="5273"/>
    <tableColumn name="Column5255" id="5274"/>
    <tableColumn name="Column5256" id="5275"/>
    <tableColumn name="Column5257" id="5276"/>
    <tableColumn name="Column5258" id="5277"/>
    <tableColumn name="Column5259" id="5278"/>
    <tableColumn name="Column5260" id="5279"/>
    <tableColumn name="Column5261" id="5280"/>
    <tableColumn name="Column5262" id="5281"/>
    <tableColumn name="Column5263" id="5282"/>
    <tableColumn name="Column5264" id="5283"/>
    <tableColumn name="Column5265" id="5284"/>
    <tableColumn name="Column5266" id="5285"/>
    <tableColumn name="Column5267" id="5286"/>
    <tableColumn name="Column5268" id="5287"/>
    <tableColumn name="Column5269" id="5288"/>
    <tableColumn name="Column5270" id="5289"/>
    <tableColumn name="Column5271" id="5290"/>
    <tableColumn name="Column5272" id="5291"/>
    <tableColumn name="Column5273" id="5292"/>
    <tableColumn name="Column5274" id="5293"/>
    <tableColumn name="Column5275" id="5294"/>
    <tableColumn name="Column5276" id="5295"/>
    <tableColumn name="Column5277" id="5296"/>
    <tableColumn name="Column5278" id="5297"/>
    <tableColumn name="Column5279" id="5298"/>
    <tableColumn name="Column5280" id="5299"/>
    <tableColumn name="Column5281" id="5300"/>
    <tableColumn name="Column5282" id="5301"/>
    <tableColumn name="Column5283" id="5302"/>
    <tableColumn name="Column5284" id="5303"/>
    <tableColumn name="Column5285" id="5304"/>
    <tableColumn name="Column5286" id="5305"/>
    <tableColumn name="Column5287" id="5306"/>
    <tableColumn name="Column5288" id="5307"/>
    <tableColumn name="Column5289" id="5308"/>
    <tableColumn name="Column5290" id="5309"/>
    <tableColumn name="Column5291" id="5310"/>
    <tableColumn name="Column5292" id="5311"/>
    <tableColumn name="Column5293" id="5312"/>
    <tableColumn name="Column5294" id="5313"/>
    <tableColumn name="Column5295" id="5314"/>
    <tableColumn name="Column5296" id="5315"/>
    <tableColumn name="Column5297" id="5316"/>
    <tableColumn name="Column5298" id="5317"/>
    <tableColumn name="Column5299" id="5318"/>
    <tableColumn name="Column5300" id="5319"/>
    <tableColumn name="Column5301" id="5320"/>
    <tableColumn name="Column5302" id="5321"/>
    <tableColumn name="Column5303" id="5322"/>
    <tableColumn name="Column5304" id="5323"/>
    <tableColumn name="Column5305" id="5324"/>
    <tableColumn name="Column5306" id="5325"/>
    <tableColumn name="Column5307" id="5326"/>
    <tableColumn name="Column5308" id="5327"/>
    <tableColumn name="Column5309" id="5328"/>
    <tableColumn name="Column5310" id="5329"/>
    <tableColumn name="Column5311" id="5330"/>
    <tableColumn name="Column5312" id="5331"/>
    <tableColumn name="Column5313" id="5332"/>
    <tableColumn name="Column5314" id="5333"/>
    <tableColumn name="Column5315" id="5334"/>
    <tableColumn name="Column5316" id="5335"/>
    <tableColumn name="Column5317" id="5336"/>
    <tableColumn name="Column5318" id="5337"/>
    <tableColumn name="Column5319" id="5338"/>
    <tableColumn name="Column5320" id="5339"/>
    <tableColumn name="Column5321" id="5340"/>
    <tableColumn name="Column5322" id="5341"/>
    <tableColumn name="Column5323" id="5342"/>
    <tableColumn name="Column5324" id="5343"/>
    <tableColumn name="Column5325" id="5344"/>
    <tableColumn name="Column5326" id="5345"/>
    <tableColumn name="Column5327" id="5346"/>
    <tableColumn name="Column5328" id="5347"/>
    <tableColumn name="Column5329" id="5348"/>
    <tableColumn name="Column5330" id="5349"/>
    <tableColumn name="Column5331" id="5350"/>
    <tableColumn name="Column5332" id="5351"/>
    <tableColumn name="Column5333" id="5352"/>
    <tableColumn name="Column5334" id="5353"/>
    <tableColumn name="Column5335" id="5354"/>
    <tableColumn name="Column5336" id="5355"/>
    <tableColumn name="Column5337" id="5356"/>
    <tableColumn name="Column5338" id="5357"/>
    <tableColumn name="Column5339" id="5358"/>
    <tableColumn name="Column5340" id="5359"/>
    <tableColumn name="Column5341" id="5360"/>
    <tableColumn name="Column5342" id="5361"/>
    <tableColumn name="Column5343" id="5362"/>
    <tableColumn name="Column5344" id="5363"/>
    <tableColumn name="Column5345" id="5364"/>
    <tableColumn name="Column5346" id="5365"/>
    <tableColumn name="Column5347" id="5366"/>
    <tableColumn name="Column5348" id="5367"/>
    <tableColumn name="Column5349" id="5368"/>
    <tableColumn name="Column5350" id="5369"/>
    <tableColumn name="Column5351" id="5370"/>
    <tableColumn name="Column5352" id="5371"/>
    <tableColumn name="Column5353" id="5372"/>
    <tableColumn name="Column5354" id="5373"/>
    <tableColumn name="Column5355" id="5374"/>
    <tableColumn name="Column5356" id="5375"/>
    <tableColumn name="Column5357" id="5376"/>
    <tableColumn name="Column5358" id="5377"/>
    <tableColumn name="Column5359" id="5378"/>
    <tableColumn name="Column5360" id="5379"/>
    <tableColumn name="Column5361" id="5380"/>
    <tableColumn name="Column5362" id="5381"/>
    <tableColumn name="Column5363" id="5382"/>
    <tableColumn name="Column5364" id="5383"/>
    <tableColumn name="Column5365" id="5384"/>
    <tableColumn name="Column5366" id="5385"/>
    <tableColumn name="Column5367" id="5386"/>
    <tableColumn name="Column5368" id="5387"/>
    <tableColumn name="Column5369" id="5388"/>
    <tableColumn name="Column5370" id="5389"/>
    <tableColumn name="Column5371" id="5390"/>
    <tableColumn name="Column5372" id="5391"/>
    <tableColumn name="Column5373" id="5392"/>
    <tableColumn name="Column5374" id="5393"/>
    <tableColumn name="Column5375" id="5394"/>
    <tableColumn name="Column5376" id="5395"/>
    <tableColumn name="Column5377" id="5396"/>
    <tableColumn name="Column5378" id="5397"/>
    <tableColumn name="Column5379" id="5398"/>
    <tableColumn name="Column5380" id="5399"/>
    <tableColumn name="Column5381" id="5400"/>
    <tableColumn name="Column5382" id="5401"/>
    <tableColumn name="Column5383" id="5402"/>
    <tableColumn name="Column5384" id="5403"/>
    <tableColumn name="Column5385" id="5404"/>
    <tableColumn name="Column5386" id="5405"/>
    <tableColumn name="Column5387" id="5406"/>
    <tableColumn name="Column5388" id="5407"/>
    <tableColumn name="Column5389" id="5408"/>
    <tableColumn name="Column5390" id="5409"/>
    <tableColumn name="Column5391" id="5410"/>
    <tableColumn name="Column5392" id="5411"/>
    <tableColumn name="Column5393" id="5412"/>
    <tableColumn name="Column5394" id="5413"/>
    <tableColumn name="Column5395" id="5414"/>
    <tableColumn name="Column5396" id="5415"/>
    <tableColumn name="Column5397" id="5416"/>
    <tableColumn name="Column5398" id="5417"/>
    <tableColumn name="Column5399" id="5418"/>
    <tableColumn name="Column5400" id="5419"/>
    <tableColumn name="Column5401" id="5420"/>
    <tableColumn name="Column5402" id="5421"/>
    <tableColumn name="Column5403" id="5422"/>
    <tableColumn name="Column5404" id="5423"/>
    <tableColumn name="Column5405" id="5424"/>
    <tableColumn name="Column5406" id="5425"/>
    <tableColumn name="Column5407" id="5426"/>
    <tableColumn name="Column5408" id="5427"/>
    <tableColumn name="Column5409" id="5428"/>
    <tableColumn name="Column5410" id="5429"/>
    <tableColumn name="Column5411" id="5430"/>
    <tableColumn name="Column5412" id="5431"/>
    <tableColumn name="Column5413" id="5432"/>
    <tableColumn name="Column5414" id="5433"/>
    <tableColumn name="Column5415" id="5434"/>
    <tableColumn name="Column5416" id="5435"/>
    <tableColumn name="Column5417" id="5436"/>
    <tableColumn name="Column5418" id="5437"/>
    <tableColumn name="Column5419" id="5438"/>
    <tableColumn name="Column5420" id="5439"/>
    <tableColumn name="Column5421" id="5440"/>
    <tableColumn name="Column5422" id="5441"/>
    <tableColumn name="Column5423" id="5442"/>
    <tableColumn name="Column5424" id="5443"/>
    <tableColumn name="Column5425" id="5444"/>
    <tableColumn name="Column5426" id="5445"/>
    <tableColumn name="Column5427" id="5446"/>
    <tableColumn name="Column5428" id="5447"/>
    <tableColumn name="Column5429" id="5448"/>
    <tableColumn name="Column5430" id="5449"/>
    <tableColumn name="Column5431" id="5450"/>
    <tableColumn name="Column5432" id="5451"/>
    <tableColumn name="Column5433" id="5452"/>
    <tableColumn name="Column5434" id="5453"/>
    <tableColumn name="Column5435" id="5454"/>
    <tableColumn name="Column5436" id="5455"/>
    <tableColumn name="Column5437" id="5456"/>
    <tableColumn name="Column5438" id="5457"/>
    <tableColumn name="Column5439" id="5458"/>
    <tableColumn name="Column5440" id="5459"/>
    <tableColumn name="Column5441" id="5460"/>
    <tableColumn name="Column5442" id="5461"/>
    <tableColumn name="Column5443" id="5462"/>
    <tableColumn name="Column5444" id="5463"/>
    <tableColumn name="Column5445" id="5464"/>
    <tableColumn name="Column5446" id="5465"/>
    <tableColumn name="Column5447" id="5466"/>
    <tableColumn name="Column5448" id="5467"/>
    <tableColumn name="Column5449" id="5468"/>
    <tableColumn name="Column5450" id="5469"/>
    <tableColumn name="Column5451" id="5470"/>
    <tableColumn name="Column5452" id="5471"/>
    <tableColumn name="Column5453" id="5472"/>
    <tableColumn name="Column5454" id="5473"/>
    <tableColumn name="Column5455" id="5474"/>
    <tableColumn name="Column5456" id="5475"/>
    <tableColumn name="Column5457" id="5476"/>
    <tableColumn name="Column5458" id="5477"/>
    <tableColumn name="Column5459" id="5478"/>
    <tableColumn name="Column5460" id="5479"/>
    <tableColumn name="Column5461" id="5480"/>
    <tableColumn name="Column5462" id="5481"/>
    <tableColumn name="Column5463" id="5482"/>
    <tableColumn name="Column5464" id="5483"/>
    <tableColumn name="Column5465" id="5484"/>
    <tableColumn name="Column5466" id="5485"/>
    <tableColumn name="Column5467" id="5486"/>
    <tableColumn name="Column5468" id="5487"/>
    <tableColumn name="Column5469" id="5488"/>
    <tableColumn name="Column5470" id="5489"/>
    <tableColumn name="Column5471" id="5490"/>
    <tableColumn name="Column5472" id="5491"/>
    <tableColumn name="Column5473" id="5492"/>
    <tableColumn name="Column5474" id="5493"/>
    <tableColumn name="Column5475" id="5494"/>
    <tableColumn name="Column5476" id="5495"/>
    <tableColumn name="Column5477" id="5496"/>
    <tableColumn name="Column5478" id="5497"/>
    <tableColumn name="Column5479" id="5498"/>
    <tableColumn name="Column5480" id="5499"/>
    <tableColumn name="Column5481" id="5500"/>
    <tableColumn name="Column5482" id="5501"/>
    <tableColumn name="Column5483" id="5502"/>
    <tableColumn name="Column5484" id="5503"/>
    <tableColumn name="Column5485" id="5504"/>
    <tableColumn name="Column5486" id="5505"/>
    <tableColumn name="Column5487" id="5506"/>
    <tableColumn name="Column5488" id="5507"/>
    <tableColumn name="Column5489" id="5508"/>
    <tableColumn name="Column5490" id="5509"/>
    <tableColumn name="Column5491" id="5510"/>
    <tableColumn name="Column5492" id="5511"/>
    <tableColumn name="Column5493" id="5512"/>
    <tableColumn name="Column5494" id="5513"/>
    <tableColumn name="Column5495" id="5514"/>
    <tableColumn name="Column5496" id="5515"/>
    <tableColumn name="Column5497" id="5516"/>
    <tableColumn name="Column5498" id="5517"/>
    <tableColumn name="Column5499" id="5518"/>
    <tableColumn name="Column5500" id="5519"/>
    <tableColumn name="Column5501" id="5520"/>
    <tableColumn name="Column5502" id="5521"/>
    <tableColumn name="Column5503" id="5522"/>
    <tableColumn name="Column5504" id="5523"/>
    <tableColumn name="Column5505" id="5524"/>
    <tableColumn name="Column5506" id="5525"/>
    <tableColumn name="Column5507" id="5526"/>
    <tableColumn name="Column5508" id="5527"/>
    <tableColumn name="Column5509" id="5528"/>
    <tableColumn name="Column5510" id="5529"/>
    <tableColumn name="Column5511" id="5530"/>
    <tableColumn name="Column5512" id="5531"/>
    <tableColumn name="Column5513" id="5532"/>
    <tableColumn name="Column5514" id="5533"/>
    <tableColumn name="Column5515" id="5534"/>
    <tableColumn name="Column5516" id="5535"/>
    <tableColumn name="Column5517" id="5536"/>
    <tableColumn name="Column5518" id="5537"/>
    <tableColumn name="Column5519" id="5538"/>
    <tableColumn name="Column5520" id="5539"/>
    <tableColumn name="Column5521" id="5540"/>
    <tableColumn name="Column5522" id="5541"/>
    <tableColumn name="Column5523" id="5542"/>
    <tableColumn name="Column5524" id="5543"/>
    <tableColumn name="Column5525" id="5544"/>
    <tableColumn name="Column5526" id="5545"/>
    <tableColumn name="Column5527" id="5546"/>
    <tableColumn name="Column5528" id="5547"/>
    <tableColumn name="Column5529" id="5548"/>
    <tableColumn name="Column5530" id="5549"/>
    <tableColumn name="Column5531" id="5550"/>
    <tableColumn name="Column5532" id="5551"/>
    <tableColumn name="Column5533" id="5552"/>
    <tableColumn name="Column5534" id="5553"/>
    <tableColumn name="Column5535" id="5554"/>
    <tableColumn name="Column5536" id="5555"/>
    <tableColumn name="Column5537" id="5556"/>
    <tableColumn name="Column5538" id="5557"/>
    <tableColumn name="Column5539" id="5558"/>
    <tableColumn name="Column5540" id="5559"/>
    <tableColumn name="Column5541" id="5560"/>
    <tableColumn name="Column5542" id="5561"/>
    <tableColumn name="Column5543" id="5562"/>
    <tableColumn name="Column5544" id="5563"/>
    <tableColumn name="Column5545" id="5564"/>
    <tableColumn name="Column5546" id="5565"/>
    <tableColumn name="Column5547" id="5566"/>
    <tableColumn name="Column5548" id="5567"/>
    <tableColumn name="Column5549" id="5568"/>
    <tableColumn name="Column5550" id="5569"/>
    <tableColumn name="Column5551" id="5570"/>
    <tableColumn name="Column5552" id="5571"/>
    <tableColumn name="Column5553" id="5572"/>
    <tableColumn name="Column5554" id="5573"/>
    <tableColumn name="Column5555" id="5574"/>
    <tableColumn name="Column5556" id="5575"/>
    <tableColumn name="Column5557" id="5576"/>
    <tableColumn name="Column5558" id="5577"/>
    <tableColumn name="Column5559" id="5578"/>
    <tableColumn name="Column5560" id="5579"/>
    <tableColumn name="Column5561" id="5580"/>
    <tableColumn name="Column5562" id="5581"/>
    <tableColumn name="Column5563" id="5582"/>
    <tableColumn name="Column5564" id="5583"/>
    <tableColumn name="Column5565" id="5584"/>
    <tableColumn name="Column5566" id="5585"/>
    <tableColumn name="Column5567" id="5586"/>
    <tableColumn name="Column5568" id="5587"/>
    <tableColumn name="Column5569" id="5588"/>
    <tableColumn name="Column5570" id="5589"/>
    <tableColumn name="Column5571" id="5590"/>
    <tableColumn name="Column5572" id="5591"/>
    <tableColumn name="Column5573" id="5592"/>
    <tableColumn name="Column5574" id="5593"/>
    <tableColumn name="Column5575" id="5594"/>
    <tableColumn name="Column5576" id="5595"/>
    <tableColumn name="Column5577" id="5596"/>
    <tableColumn name="Column5578" id="5597"/>
    <tableColumn name="Column5579" id="5598"/>
    <tableColumn name="Column5580" id="5599"/>
    <tableColumn name="Column5581" id="5600"/>
    <tableColumn name="Column5582" id="5601"/>
    <tableColumn name="Column5583" id="5602"/>
    <tableColumn name="Column5584" id="5603"/>
    <tableColumn name="Column5585" id="5604"/>
    <tableColumn name="Column5586" id="5605"/>
    <tableColumn name="Column5587" id="5606"/>
    <tableColumn name="Column5588" id="5607"/>
    <tableColumn name="Column5589" id="5608"/>
    <tableColumn name="Column5590" id="5609"/>
    <tableColumn name="Column5591" id="5610"/>
    <tableColumn name="Column5592" id="5611"/>
    <tableColumn name="Column5593" id="5612"/>
    <tableColumn name="Column5594" id="5613"/>
    <tableColumn name="Column5595" id="5614"/>
    <tableColumn name="Column5596" id="5615"/>
    <tableColumn name="Column5597" id="5616"/>
    <tableColumn name="Column5598" id="5617"/>
    <tableColumn name="Column5599" id="5618"/>
    <tableColumn name="Column5600" id="5619"/>
    <tableColumn name="Column5601" id="5620"/>
    <tableColumn name="Column5602" id="5621"/>
    <tableColumn name="Column5603" id="5622"/>
    <tableColumn name="Column5604" id="5623"/>
    <tableColumn name="Column5605" id="5624"/>
    <tableColumn name="Column5606" id="5625"/>
    <tableColumn name="Column5607" id="5626"/>
    <tableColumn name="Column5608" id="5627"/>
    <tableColumn name="Column5609" id="5628"/>
    <tableColumn name="Column5610" id="5629"/>
    <tableColumn name="Column5611" id="5630"/>
    <tableColumn name="Column5612" id="5631"/>
    <tableColumn name="Column5613" id="5632"/>
    <tableColumn name="Column5614" id="5633"/>
    <tableColumn name="Column5615" id="5634"/>
    <tableColumn name="Column5616" id="5635"/>
    <tableColumn name="Column5617" id="5636"/>
    <tableColumn name="Column5618" id="5637"/>
    <tableColumn name="Column5619" id="5638"/>
    <tableColumn name="Column5620" id="5639"/>
    <tableColumn name="Column5621" id="5640"/>
    <tableColumn name="Column5622" id="5641"/>
    <tableColumn name="Column5623" id="5642"/>
    <tableColumn name="Column5624" id="5643"/>
    <tableColumn name="Column5625" id="5644"/>
    <tableColumn name="Column5626" id="5645"/>
    <tableColumn name="Column5627" id="5646"/>
    <tableColumn name="Column5628" id="5647"/>
    <tableColumn name="Column5629" id="5648"/>
    <tableColumn name="Column5630" id="5649"/>
    <tableColumn name="Column5631" id="5650"/>
    <tableColumn name="Column5632" id="5651"/>
    <tableColumn name="Column5633" id="5652"/>
    <tableColumn name="Column5634" id="5653"/>
    <tableColumn name="Column5635" id="5654"/>
    <tableColumn name="Column5636" id="5655"/>
    <tableColumn name="Column5637" id="5656"/>
    <tableColumn name="Column5638" id="5657"/>
    <tableColumn name="Column5639" id="5658"/>
    <tableColumn name="Column5640" id="5659"/>
    <tableColumn name="Column5641" id="5660"/>
    <tableColumn name="Column5642" id="5661"/>
    <tableColumn name="Column5643" id="5662"/>
    <tableColumn name="Column5644" id="5663"/>
    <tableColumn name="Column5645" id="5664"/>
    <tableColumn name="Column5646" id="5665"/>
    <tableColumn name="Column5647" id="5666"/>
    <tableColumn name="Column5648" id="5667"/>
    <tableColumn name="Column5649" id="5668"/>
    <tableColumn name="Column5650" id="5669"/>
    <tableColumn name="Column5651" id="5670"/>
    <tableColumn name="Column5652" id="5671"/>
    <tableColumn name="Column5653" id="5672"/>
    <tableColumn name="Column5654" id="5673"/>
    <tableColumn name="Column5655" id="5674"/>
    <tableColumn name="Column5656" id="5675"/>
    <tableColumn name="Column5657" id="5676"/>
    <tableColumn name="Column5658" id="5677"/>
    <tableColumn name="Column5659" id="5678"/>
    <tableColumn name="Column5660" id="5679"/>
    <tableColumn name="Column5661" id="5680"/>
    <tableColumn name="Column5662" id="5681"/>
    <tableColumn name="Column5663" id="5682"/>
    <tableColumn name="Column5664" id="5683"/>
    <tableColumn name="Column5665" id="5684"/>
    <tableColumn name="Column5666" id="5685"/>
    <tableColumn name="Column5667" id="5686"/>
    <tableColumn name="Column5668" id="5687"/>
    <tableColumn name="Column5669" id="5688"/>
    <tableColumn name="Column5670" id="5689"/>
    <tableColumn name="Column5671" id="5690"/>
    <tableColumn name="Column5672" id="5691"/>
    <tableColumn name="Column5673" id="5692"/>
    <tableColumn name="Column5674" id="5693"/>
    <tableColumn name="Column5675" id="5694"/>
    <tableColumn name="Column5676" id="5695"/>
    <tableColumn name="Column5677" id="5696"/>
    <tableColumn name="Column5678" id="5697"/>
    <tableColumn name="Column5679" id="5698"/>
    <tableColumn name="Column5680" id="5699"/>
    <tableColumn name="Column5681" id="5700"/>
    <tableColumn name="Column5682" id="5701"/>
    <tableColumn name="Column5683" id="5702"/>
    <tableColumn name="Column5684" id="5703"/>
    <tableColumn name="Column5685" id="5704"/>
    <tableColumn name="Column5686" id="5705"/>
    <tableColumn name="Column5687" id="5706"/>
    <tableColumn name="Column5688" id="5707"/>
    <tableColumn name="Column5689" id="5708"/>
    <tableColumn name="Column5690" id="5709"/>
    <tableColumn name="Column5691" id="5710"/>
    <tableColumn name="Column5692" id="5711"/>
    <tableColumn name="Column5693" id="5712"/>
    <tableColumn name="Column5694" id="5713"/>
    <tableColumn name="Column5695" id="5714"/>
    <tableColumn name="Column5696" id="5715"/>
    <tableColumn name="Column5697" id="5716"/>
    <tableColumn name="Column5698" id="5717"/>
    <tableColumn name="Column5699" id="5718"/>
    <tableColumn name="Column5700" id="5719"/>
    <tableColumn name="Column5701" id="5720"/>
    <tableColumn name="Column5702" id="5721"/>
    <tableColumn name="Column5703" id="5722"/>
    <tableColumn name="Column5704" id="5723"/>
    <tableColumn name="Column5705" id="5724"/>
    <tableColumn name="Column5706" id="5725"/>
    <tableColumn name="Column5707" id="5726"/>
    <tableColumn name="Column5708" id="5727"/>
    <tableColumn name="Column5709" id="5728"/>
    <tableColumn name="Column5710" id="5729"/>
    <tableColumn name="Column5711" id="5730"/>
    <tableColumn name="Column5712" id="5731"/>
    <tableColumn name="Column5713" id="5732"/>
    <tableColumn name="Column5714" id="5733"/>
    <tableColumn name="Column5715" id="5734"/>
    <tableColumn name="Column5716" id="5735"/>
    <tableColumn name="Column5717" id="5736"/>
    <tableColumn name="Column5718" id="5737"/>
    <tableColumn name="Column5719" id="5738"/>
    <tableColumn name="Column5720" id="5739"/>
    <tableColumn name="Column5721" id="5740"/>
    <tableColumn name="Column5722" id="5741"/>
    <tableColumn name="Column5723" id="5742"/>
    <tableColumn name="Column5724" id="5743"/>
    <tableColumn name="Column5725" id="5744"/>
    <tableColumn name="Column5726" id="5745"/>
    <tableColumn name="Column5727" id="5746"/>
    <tableColumn name="Column5728" id="5747"/>
    <tableColumn name="Column5729" id="5748"/>
    <tableColumn name="Column5730" id="5749"/>
    <tableColumn name="Column5731" id="5750"/>
    <tableColumn name="Column5732" id="5751"/>
    <tableColumn name="Column5733" id="5752"/>
    <tableColumn name="Column5734" id="5753"/>
    <tableColumn name="Column5735" id="5754"/>
    <tableColumn name="Column5736" id="5755"/>
    <tableColumn name="Column5737" id="5756"/>
    <tableColumn name="Column5738" id="5757"/>
    <tableColumn name="Column5739" id="5758"/>
    <tableColumn name="Column5740" id="5759"/>
    <tableColumn name="Column5741" id="5760"/>
    <tableColumn name="Column5742" id="5761"/>
    <tableColumn name="Column5743" id="5762"/>
    <tableColumn name="Column5744" id="5763"/>
    <tableColumn name="Column5745" id="5764"/>
    <tableColumn name="Column5746" id="5765"/>
    <tableColumn name="Column5747" id="5766"/>
    <tableColumn name="Column5748" id="5767"/>
    <tableColumn name="Column5749" id="5768"/>
    <tableColumn name="Column5750" id="5769"/>
    <tableColumn name="Column5751" id="5770"/>
    <tableColumn name="Column5752" id="5771"/>
    <tableColumn name="Column5753" id="5772"/>
    <tableColumn name="Column5754" id="5773"/>
    <tableColumn name="Column5755" id="5774"/>
    <tableColumn name="Column5756" id="5775"/>
    <tableColumn name="Column5757" id="5776"/>
    <tableColumn name="Column5758" id="5777"/>
    <tableColumn name="Column5759" id="5778"/>
    <tableColumn name="Column5760" id="5779"/>
    <tableColumn name="Column5761" id="5780"/>
    <tableColumn name="Column5762" id="5781"/>
    <tableColumn name="Column5763" id="5782"/>
    <tableColumn name="Column5764" id="5783"/>
    <tableColumn name="Column5765" id="5784"/>
    <tableColumn name="Column5766" id="5785"/>
    <tableColumn name="Column5767" id="5786"/>
    <tableColumn name="Column5768" id="5787"/>
    <tableColumn name="Column5769" id="5788"/>
    <tableColumn name="Column5770" id="5789"/>
    <tableColumn name="Column5771" id="5790"/>
    <tableColumn name="Column5772" id="5791"/>
    <tableColumn name="Column5773" id="5792"/>
    <tableColumn name="Column5774" id="5793"/>
    <tableColumn name="Column5775" id="5794"/>
    <tableColumn name="Column5776" id="5795"/>
    <tableColumn name="Column5777" id="5796"/>
    <tableColumn name="Column5778" id="5797"/>
    <tableColumn name="Column5779" id="5798"/>
    <tableColumn name="Column5780" id="5799"/>
    <tableColumn name="Column5781" id="5800"/>
    <tableColumn name="Column5782" id="5801"/>
    <tableColumn name="Column5783" id="5802"/>
    <tableColumn name="Column5784" id="5803"/>
    <tableColumn name="Column5785" id="5804"/>
    <tableColumn name="Column5786" id="5805"/>
    <tableColumn name="Column5787" id="5806"/>
    <tableColumn name="Column5788" id="5807"/>
    <tableColumn name="Column5789" id="5808"/>
    <tableColumn name="Column5790" id="5809"/>
    <tableColumn name="Column5791" id="5810"/>
    <tableColumn name="Column5792" id="5811"/>
    <tableColumn name="Column5793" id="5812"/>
    <tableColumn name="Column5794" id="5813"/>
    <tableColumn name="Column5795" id="5814"/>
    <tableColumn name="Column5796" id="5815"/>
    <tableColumn name="Column5797" id="5816"/>
    <tableColumn name="Column5798" id="5817"/>
    <tableColumn name="Column5799" id="5818"/>
    <tableColumn name="Column5800" id="5819"/>
    <tableColumn name="Column5801" id="5820"/>
    <tableColumn name="Column5802" id="5821"/>
    <tableColumn name="Column5803" id="5822"/>
    <tableColumn name="Column5804" id="5823"/>
    <tableColumn name="Column5805" id="5824"/>
    <tableColumn name="Column5806" id="5825"/>
    <tableColumn name="Column5807" id="5826"/>
    <tableColumn name="Column5808" id="5827"/>
    <tableColumn name="Column5809" id="5828"/>
    <tableColumn name="Column5810" id="5829"/>
    <tableColumn name="Column5811" id="5830"/>
    <tableColumn name="Column5812" id="5831"/>
    <tableColumn name="Column5813" id="5832"/>
    <tableColumn name="Column5814" id="5833"/>
    <tableColumn name="Column5815" id="5834"/>
    <tableColumn name="Column5816" id="5835"/>
    <tableColumn name="Column5817" id="5836"/>
    <tableColumn name="Column5818" id="5837"/>
    <tableColumn name="Column5819" id="5838"/>
    <tableColumn name="Column5820" id="5839"/>
    <tableColumn name="Column5821" id="5840"/>
    <tableColumn name="Column5822" id="5841"/>
    <tableColumn name="Column5823" id="5842"/>
    <tableColumn name="Column5824" id="5843"/>
    <tableColumn name="Column5825" id="5844"/>
    <tableColumn name="Column5826" id="5845"/>
    <tableColumn name="Column5827" id="5846"/>
    <tableColumn name="Column5828" id="5847"/>
    <tableColumn name="Column5829" id="5848"/>
    <tableColumn name="Column5830" id="5849"/>
    <tableColumn name="Column5831" id="5850"/>
    <tableColumn name="Column5832" id="5851"/>
    <tableColumn name="Column5833" id="5852"/>
    <tableColumn name="Column5834" id="5853"/>
    <tableColumn name="Column5835" id="5854"/>
    <tableColumn name="Column5836" id="5855"/>
    <tableColumn name="Column5837" id="5856"/>
    <tableColumn name="Column5838" id="5857"/>
    <tableColumn name="Column5839" id="5858"/>
    <tableColumn name="Column5840" id="5859"/>
    <tableColumn name="Column5841" id="5860"/>
    <tableColumn name="Column5842" id="5861"/>
    <tableColumn name="Column5843" id="5862"/>
    <tableColumn name="Column5844" id="5863"/>
    <tableColumn name="Column5845" id="5864"/>
    <tableColumn name="Column5846" id="5865"/>
    <tableColumn name="Column5847" id="5866"/>
    <tableColumn name="Column5848" id="5867"/>
    <tableColumn name="Column5849" id="5868"/>
    <tableColumn name="Column5850" id="5869"/>
    <tableColumn name="Column5851" id="5870"/>
    <tableColumn name="Column5852" id="5871"/>
    <tableColumn name="Column5853" id="5872"/>
    <tableColumn name="Column5854" id="5873"/>
    <tableColumn name="Column5855" id="5874"/>
    <tableColumn name="Column5856" id="5875"/>
    <tableColumn name="Column5857" id="5876"/>
    <tableColumn name="Column5858" id="5877"/>
    <tableColumn name="Column5859" id="5878"/>
    <tableColumn name="Column5860" id="5879"/>
    <tableColumn name="Column5861" id="5880"/>
    <tableColumn name="Column5862" id="5881"/>
    <tableColumn name="Column5863" id="5882"/>
    <tableColumn name="Column5864" id="5883"/>
    <tableColumn name="Column5865" id="5884"/>
    <tableColumn name="Column5866" id="5885"/>
    <tableColumn name="Column5867" id="5886"/>
    <tableColumn name="Column5868" id="5887"/>
    <tableColumn name="Column5869" id="5888"/>
    <tableColumn name="Column5870" id="5889"/>
    <tableColumn name="Column5871" id="5890"/>
    <tableColumn name="Column5872" id="5891"/>
    <tableColumn name="Column5873" id="5892"/>
    <tableColumn name="Column5874" id="5893"/>
    <tableColumn name="Column5875" id="5894"/>
    <tableColumn name="Column5876" id="5895"/>
    <tableColumn name="Column5877" id="5896"/>
    <tableColumn name="Column5878" id="5897"/>
    <tableColumn name="Column5879" id="5898"/>
    <tableColumn name="Column5880" id="5899"/>
    <tableColumn name="Column5881" id="5900"/>
    <tableColumn name="Column5882" id="5901"/>
    <tableColumn name="Column5883" id="5902"/>
    <tableColumn name="Column5884" id="5903"/>
    <tableColumn name="Column5885" id="5904"/>
    <tableColumn name="Column5886" id="5905"/>
    <tableColumn name="Column5887" id="5906"/>
    <tableColumn name="Column5888" id="5907"/>
    <tableColumn name="Column5889" id="5908"/>
    <tableColumn name="Column5890" id="5909"/>
    <tableColumn name="Column5891" id="5910"/>
    <tableColumn name="Column5892" id="5911"/>
    <tableColumn name="Column5893" id="5912"/>
    <tableColumn name="Column5894" id="5913"/>
    <tableColumn name="Column5895" id="5914"/>
    <tableColumn name="Column5896" id="5915"/>
    <tableColumn name="Column5897" id="5916"/>
    <tableColumn name="Column5898" id="5917"/>
    <tableColumn name="Column5899" id="5918"/>
    <tableColumn name="Column5900" id="5919"/>
    <tableColumn name="Column5901" id="5920"/>
    <tableColumn name="Column5902" id="5921"/>
    <tableColumn name="Column5903" id="5922"/>
    <tableColumn name="Column5904" id="5923"/>
    <tableColumn name="Column5905" id="5924"/>
    <tableColumn name="Column5906" id="5925"/>
    <tableColumn name="Column5907" id="5926"/>
    <tableColumn name="Column5908" id="5927"/>
    <tableColumn name="Column5909" id="5928"/>
    <tableColumn name="Column5910" id="5929"/>
    <tableColumn name="Column5911" id="5930"/>
    <tableColumn name="Column5912" id="5931"/>
    <tableColumn name="Column5913" id="5932"/>
    <tableColumn name="Column5914" id="5933"/>
    <tableColumn name="Column5915" id="5934"/>
    <tableColumn name="Column5916" id="5935"/>
    <tableColumn name="Column5917" id="5936"/>
    <tableColumn name="Column5918" id="5937"/>
    <tableColumn name="Column5919" id="5938"/>
    <tableColumn name="Column5920" id="5939"/>
    <tableColumn name="Column5921" id="5940"/>
    <tableColumn name="Column5922" id="5941"/>
    <tableColumn name="Column5923" id="5942"/>
    <tableColumn name="Column5924" id="5943"/>
    <tableColumn name="Column5925" id="5944"/>
    <tableColumn name="Column5926" id="5945"/>
    <tableColumn name="Column5927" id="5946"/>
    <tableColumn name="Column5928" id="5947"/>
    <tableColumn name="Column5929" id="5948"/>
    <tableColumn name="Column5930" id="5949"/>
    <tableColumn name="Column5931" id="5950"/>
    <tableColumn name="Column5932" id="5951"/>
    <tableColumn name="Column5933" id="5952"/>
    <tableColumn name="Column5934" id="5953"/>
    <tableColumn name="Column5935" id="5954"/>
    <tableColumn name="Column5936" id="5955"/>
    <tableColumn name="Column5937" id="5956"/>
    <tableColumn name="Column5938" id="5957"/>
    <tableColumn name="Column5939" id="5958"/>
    <tableColumn name="Column5940" id="5959"/>
    <tableColumn name="Column5941" id="5960"/>
    <tableColumn name="Column5942" id="5961"/>
    <tableColumn name="Column5943" id="5962"/>
    <tableColumn name="Column5944" id="5963"/>
    <tableColumn name="Column5945" id="5964"/>
    <tableColumn name="Column5946" id="5965"/>
    <tableColumn name="Column5947" id="5966"/>
    <tableColumn name="Column5948" id="5967"/>
    <tableColumn name="Column5949" id="5968"/>
    <tableColumn name="Column5950" id="5969"/>
    <tableColumn name="Column5951" id="5970"/>
    <tableColumn name="Column5952" id="5971"/>
    <tableColumn name="Column5953" id="5972"/>
    <tableColumn name="Column5954" id="5973"/>
    <tableColumn name="Column5955" id="5974"/>
    <tableColumn name="Column5956" id="5975"/>
    <tableColumn name="Column5957" id="5976"/>
    <tableColumn name="Column5958" id="5977"/>
    <tableColumn name="Column5959" id="5978"/>
    <tableColumn name="Column5960" id="5979"/>
    <tableColumn name="Column5961" id="5980"/>
    <tableColumn name="Column5962" id="5981"/>
    <tableColumn name="Column5963" id="5982"/>
    <tableColumn name="Column5964" id="5983"/>
    <tableColumn name="Column5965" id="5984"/>
    <tableColumn name="Column5966" id="5985"/>
    <tableColumn name="Column5967" id="5986"/>
    <tableColumn name="Column5968" id="5987"/>
    <tableColumn name="Column5969" id="5988"/>
    <tableColumn name="Column5970" id="5989"/>
    <tableColumn name="Column5971" id="5990"/>
    <tableColumn name="Column5972" id="5991"/>
    <tableColumn name="Column5973" id="5992"/>
    <tableColumn name="Column5974" id="5993"/>
    <tableColumn name="Column5975" id="5994"/>
    <tableColumn name="Column5976" id="5995"/>
    <tableColumn name="Column5977" id="5996"/>
    <tableColumn name="Column5978" id="5997"/>
    <tableColumn name="Column5979" id="5998"/>
    <tableColumn name="Column5980" id="5999"/>
    <tableColumn name="Column5981" id="6000"/>
    <tableColumn name="Column5982" id="6001"/>
    <tableColumn name="Column5983" id="6002"/>
    <tableColumn name="Column5984" id="6003"/>
    <tableColumn name="Column5985" id="6004"/>
    <tableColumn name="Column5986" id="6005"/>
    <tableColumn name="Column5987" id="6006"/>
    <tableColumn name="Column5988" id="6007"/>
    <tableColumn name="Column5989" id="6008"/>
    <tableColumn name="Column5990" id="6009"/>
    <tableColumn name="Column5991" id="6010"/>
    <tableColumn name="Column5992" id="6011"/>
    <tableColumn name="Column5993" id="6012"/>
    <tableColumn name="Column5994" id="6013"/>
    <tableColumn name="Column5995" id="6014"/>
    <tableColumn name="Column5996" id="6015"/>
    <tableColumn name="Column5997" id="6016"/>
    <tableColumn name="Column5998" id="6017"/>
    <tableColumn name="Column5999" id="6018"/>
    <tableColumn name="Column6000" id="6019"/>
    <tableColumn name="Column6001" id="6020"/>
    <tableColumn name="Column6002" id="6021"/>
    <tableColumn name="Column6003" id="6022"/>
    <tableColumn name="Column6004" id="6023"/>
    <tableColumn name="Column6005" id="6024"/>
    <tableColumn name="Column6006" id="6025"/>
    <tableColumn name="Column6007" id="6026"/>
    <tableColumn name="Column6008" id="6027"/>
    <tableColumn name="Column6009" id="6028"/>
    <tableColumn name="Column6010" id="6029"/>
    <tableColumn name="Column6011" id="6030"/>
    <tableColumn name="Column6012" id="6031"/>
    <tableColumn name="Column6013" id="6032"/>
    <tableColumn name="Column6014" id="6033"/>
    <tableColumn name="Column6015" id="6034"/>
    <tableColumn name="Column6016" id="6035"/>
    <tableColumn name="Column6017" id="6036"/>
    <tableColumn name="Column6018" id="6037"/>
    <tableColumn name="Column6019" id="6038"/>
    <tableColumn name="Column6020" id="6039"/>
    <tableColumn name="Column6021" id="6040"/>
    <tableColumn name="Column6022" id="6041"/>
    <tableColumn name="Column6023" id="6042"/>
    <tableColumn name="Column6024" id="6043"/>
    <tableColumn name="Column6025" id="6044"/>
    <tableColumn name="Column6026" id="6045"/>
    <tableColumn name="Column6027" id="6046"/>
    <tableColumn name="Column6028" id="6047"/>
    <tableColumn name="Column6029" id="6048"/>
    <tableColumn name="Column6030" id="6049"/>
    <tableColumn name="Column6031" id="6050"/>
    <tableColumn name="Column6032" id="6051"/>
    <tableColumn name="Column6033" id="6052"/>
    <tableColumn name="Column6034" id="6053"/>
    <tableColumn name="Column6035" id="6054"/>
    <tableColumn name="Column6036" id="6055"/>
    <tableColumn name="Column6037" id="6056"/>
    <tableColumn name="Column6038" id="6057"/>
    <tableColumn name="Column6039" id="6058"/>
    <tableColumn name="Column6040" id="6059"/>
    <tableColumn name="Column6041" id="6060"/>
    <tableColumn name="Column6042" id="6061"/>
    <tableColumn name="Column6043" id="6062"/>
    <tableColumn name="Column6044" id="6063"/>
    <tableColumn name="Column6045" id="6064"/>
    <tableColumn name="Column6046" id="6065"/>
    <tableColumn name="Column6047" id="6066"/>
    <tableColumn name="Column6048" id="6067"/>
    <tableColumn name="Column6049" id="6068"/>
    <tableColumn name="Column6050" id="6069"/>
    <tableColumn name="Column6051" id="6070"/>
    <tableColumn name="Column6052" id="6071"/>
    <tableColumn name="Column6053" id="6072"/>
    <tableColumn name="Column6054" id="6073"/>
    <tableColumn name="Column6055" id="6074"/>
    <tableColumn name="Column6056" id="6075"/>
    <tableColumn name="Column6057" id="6076"/>
    <tableColumn name="Column6058" id="6077"/>
    <tableColumn name="Column6059" id="6078"/>
    <tableColumn name="Column6060" id="6079"/>
    <tableColumn name="Column6061" id="6080"/>
    <tableColumn name="Column6062" id="6081"/>
    <tableColumn name="Column6063" id="6082"/>
    <tableColumn name="Column6064" id="6083"/>
    <tableColumn name="Column6065" id="6084"/>
    <tableColumn name="Column6066" id="6085"/>
    <tableColumn name="Column6067" id="6086"/>
    <tableColumn name="Column6068" id="6087"/>
    <tableColumn name="Column6069" id="6088"/>
    <tableColumn name="Column6070" id="6089"/>
    <tableColumn name="Column6071" id="6090"/>
    <tableColumn name="Column6072" id="6091"/>
    <tableColumn name="Column6073" id="6092"/>
    <tableColumn name="Column6074" id="6093"/>
    <tableColumn name="Column6075" id="6094"/>
    <tableColumn name="Column6076" id="6095"/>
    <tableColumn name="Column6077" id="6096"/>
    <tableColumn name="Column6078" id="6097"/>
    <tableColumn name="Column6079" id="6098"/>
    <tableColumn name="Column6080" id="6099"/>
    <tableColumn name="Column6081" id="6100"/>
    <tableColumn name="Column6082" id="6101"/>
    <tableColumn name="Column6083" id="6102"/>
    <tableColumn name="Column6084" id="6103"/>
    <tableColumn name="Column6085" id="6104"/>
    <tableColumn name="Column6086" id="6105"/>
    <tableColumn name="Column6087" id="6106"/>
    <tableColumn name="Column6088" id="6107"/>
    <tableColumn name="Column6089" id="6108"/>
    <tableColumn name="Column6090" id="6109"/>
    <tableColumn name="Column6091" id="6110"/>
    <tableColumn name="Column6092" id="6111"/>
    <tableColumn name="Column6093" id="6112"/>
    <tableColumn name="Column6094" id="6113"/>
    <tableColumn name="Column6095" id="6114"/>
    <tableColumn name="Column6096" id="6115"/>
    <tableColumn name="Column6097" id="6116"/>
    <tableColumn name="Column6098" id="6117"/>
    <tableColumn name="Column6099" id="6118"/>
    <tableColumn name="Column6100" id="6119"/>
    <tableColumn name="Column6101" id="6120"/>
    <tableColumn name="Column6102" id="6121"/>
    <tableColumn name="Column6103" id="6122"/>
    <tableColumn name="Column6104" id="6123"/>
    <tableColumn name="Column6105" id="6124"/>
    <tableColumn name="Column6106" id="6125"/>
    <tableColumn name="Column6107" id="6126"/>
    <tableColumn name="Column6108" id="6127"/>
    <tableColumn name="Column6109" id="6128"/>
    <tableColumn name="Column6110" id="6129"/>
    <tableColumn name="Column6111" id="6130"/>
    <tableColumn name="Column6112" id="6131"/>
    <tableColumn name="Column6113" id="6132"/>
    <tableColumn name="Column6114" id="6133"/>
    <tableColumn name="Column6115" id="6134"/>
    <tableColumn name="Column6116" id="6135"/>
    <tableColumn name="Column6117" id="6136"/>
    <tableColumn name="Column6118" id="6137"/>
    <tableColumn name="Column6119" id="6138"/>
    <tableColumn name="Column6120" id="6139"/>
    <tableColumn name="Column6121" id="6140"/>
    <tableColumn name="Column6122" id="6141"/>
    <tableColumn name="Column6123" id="6142"/>
    <tableColumn name="Column6124" id="6143"/>
    <tableColumn name="Column6125" id="6144"/>
    <tableColumn name="Column6126" id="6145"/>
    <tableColumn name="Column6127" id="6146"/>
    <tableColumn name="Column6128" id="6147"/>
    <tableColumn name="Column6129" id="6148"/>
    <tableColumn name="Column6130" id="6149"/>
    <tableColumn name="Column6131" id="6150"/>
    <tableColumn name="Column6132" id="6151"/>
    <tableColumn name="Column6133" id="6152"/>
    <tableColumn name="Column6134" id="6153"/>
    <tableColumn name="Column6135" id="6154"/>
    <tableColumn name="Column6136" id="6155"/>
    <tableColumn name="Column6137" id="6156"/>
    <tableColumn name="Column6138" id="6157"/>
    <tableColumn name="Column6139" id="6158"/>
    <tableColumn name="Column6140" id="6159"/>
    <tableColumn name="Column6141" id="6160"/>
    <tableColumn name="Column6142" id="6161"/>
    <tableColumn name="Column6143" id="6162"/>
    <tableColumn name="Column6144" id="6163"/>
    <tableColumn name="Column6145" id="6164"/>
    <tableColumn name="Column6146" id="6165"/>
    <tableColumn name="Column6147" id="6166"/>
    <tableColumn name="Column6148" id="6167"/>
    <tableColumn name="Column6149" id="6168"/>
    <tableColumn name="Column6150" id="6169"/>
    <tableColumn name="Column6151" id="6170"/>
    <tableColumn name="Column6152" id="6171"/>
    <tableColumn name="Column6153" id="6172"/>
    <tableColumn name="Column6154" id="6173"/>
    <tableColumn name="Column6155" id="6174"/>
    <tableColumn name="Column6156" id="6175"/>
    <tableColumn name="Column6157" id="6176"/>
    <tableColumn name="Column6158" id="6177"/>
    <tableColumn name="Column6159" id="6178"/>
    <tableColumn name="Column6160" id="6179"/>
    <tableColumn name="Column6161" id="6180"/>
    <tableColumn name="Column6162" id="6181"/>
    <tableColumn name="Column6163" id="6182"/>
    <tableColumn name="Column6164" id="6183"/>
    <tableColumn name="Column6165" id="6184"/>
    <tableColumn name="Column6166" id="6185"/>
    <tableColumn name="Column6167" id="6186"/>
    <tableColumn name="Column6168" id="6187"/>
    <tableColumn name="Column6169" id="6188"/>
    <tableColumn name="Column6170" id="6189"/>
    <tableColumn name="Column6171" id="6190"/>
    <tableColumn name="Column6172" id="6191"/>
    <tableColumn name="Column6173" id="6192"/>
    <tableColumn name="Column6174" id="6193"/>
    <tableColumn name="Column6175" id="6194"/>
    <tableColumn name="Column6176" id="6195"/>
    <tableColumn name="Column6177" id="6196"/>
    <tableColumn name="Column6178" id="6197"/>
    <tableColumn name="Column6179" id="6198"/>
    <tableColumn name="Column6180" id="6199"/>
    <tableColumn name="Column6181" id="6200"/>
    <tableColumn name="Column6182" id="6201"/>
    <tableColumn name="Column6183" id="6202"/>
    <tableColumn name="Column6184" id="6203"/>
    <tableColumn name="Column6185" id="6204"/>
    <tableColumn name="Column6186" id="6205"/>
    <tableColumn name="Column6187" id="6206"/>
    <tableColumn name="Column6188" id="6207"/>
    <tableColumn name="Column6189" id="6208"/>
    <tableColumn name="Column6190" id="6209"/>
    <tableColumn name="Column6191" id="6210"/>
    <tableColumn name="Column6192" id="6211"/>
    <tableColumn name="Column6193" id="6212"/>
    <tableColumn name="Column6194" id="6213"/>
    <tableColumn name="Column6195" id="6214"/>
    <tableColumn name="Column6196" id="6215"/>
    <tableColumn name="Column6197" id="6216"/>
    <tableColumn name="Column6198" id="6217"/>
    <tableColumn name="Column6199" id="6218"/>
    <tableColumn name="Column6200" id="6219"/>
    <tableColumn name="Column6201" id="6220"/>
    <tableColumn name="Column6202" id="6221"/>
    <tableColumn name="Column6203" id="6222"/>
    <tableColumn name="Column6204" id="6223"/>
    <tableColumn name="Column6205" id="6224"/>
    <tableColumn name="Column6206" id="6225"/>
    <tableColumn name="Column6207" id="6226"/>
    <tableColumn name="Column6208" id="6227"/>
    <tableColumn name="Column6209" id="6228"/>
    <tableColumn name="Column6210" id="6229"/>
    <tableColumn name="Column6211" id="6230"/>
    <tableColumn name="Column6212" id="6231"/>
    <tableColumn name="Column6213" id="6232"/>
    <tableColumn name="Column6214" id="6233"/>
    <tableColumn name="Column6215" id="6234"/>
    <tableColumn name="Column6216" id="6235"/>
    <tableColumn name="Column6217" id="6236"/>
    <tableColumn name="Column6218" id="6237"/>
    <tableColumn name="Column6219" id="6238"/>
    <tableColumn name="Column6220" id="6239"/>
    <tableColumn name="Column6221" id="6240"/>
    <tableColumn name="Column6222" id="6241"/>
    <tableColumn name="Column6223" id="6242"/>
    <tableColumn name="Column6224" id="6243"/>
    <tableColumn name="Column6225" id="6244"/>
    <tableColumn name="Column6226" id="6245"/>
    <tableColumn name="Column6227" id="6246"/>
    <tableColumn name="Column6228" id="6247"/>
    <tableColumn name="Column6229" id="6248"/>
    <tableColumn name="Column6230" id="6249"/>
    <tableColumn name="Column6231" id="6250"/>
    <tableColumn name="Column6232" id="6251"/>
    <tableColumn name="Column6233" id="6252"/>
    <tableColumn name="Column6234" id="6253"/>
    <tableColumn name="Column6235" id="6254"/>
    <tableColumn name="Column6236" id="6255"/>
    <tableColumn name="Column6237" id="6256"/>
    <tableColumn name="Column6238" id="6257"/>
    <tableColumn name="Column6239" id="6258"/>
    <tableColumn name="Column6240" id="6259"/>
    <tableColumn name="Column6241" id="6260"/>
    <tableColumn name="Column6242" id="6261"/>
    <tableColumn name="Column6243" id="6262"/>
    <tableColumn name="Column6244" id="6263"/>
    <tableColumn name="Column6245" id="6264"/>
    <tableColumn name="Column6246" id="6265"/>
    <tableColumn name="Column6247" id="6266"/>
    <tableColumn name="Column6248" id="6267"/>
    <tableColumn name="Column6249" id="6268"/>
    <tableColumn name="Column6250" id="6269"/>
    <tableColumn name="Column6251" id="6270"/>
    <tableColumn name="Column6252" id="6271"/>
    <tableColumn name="Column6253" id="6272"/>
    <tableColumn name="Column6254" id="6273"/>
    <tableColumn name="Column6255" id="6274"/>
    <tableColumn name="Column6256" id="6275"/>
    <tableColumn name="Column6257" id="6276"/>
    <tableColumn name="Column6258" id="6277"/>
    <tableColumn name="Column6259" id="6278"/>
    <tableColumn name="Column6260" id="6279"/>
    <tableColumn name="Column6261" id="6280"/>
    <tableColumn name="Column6262" id="6281"/>
    <tableColumn name="Column6263" id="6282"/>
    <tableColumn name="Column6264" id="6283"/>
    <tableColumn name="Column6265" id="6284"/>
    <tableColumn name="Column6266" id="6285"/>
    <tableColumn name="Column6267" id="6286"/>
    <tableColumn name="Column6268" id="6287"/>
    <tableColumn name="Column6269" id="6288"/>
    <tableColumn name="Column6270" id="6289"/>
    <tableColumn name="Column6271" id="6290"/>
    <tableColumn name="Column6272" id="6291"/>
    <tableColumn name="Column6273" id="6292"/>
    <tableColumn name="Column6274" id="6293"/>
    <tableColumn name="Column6275" id="6294"/>
    <tableColumn name="Column6276" id="6295"/>
    <tableColumn name="Column6277" id="6296"/>
    <tableColumn name="Column6278" id="6297"/>
    <tableColumn name="Column6279" id="6298"/>
    <tableColumn name="Column6280" id="6299"/>
    <tableColumn name="Column6281" id="6300"/>
    <tableColumn name="Column6282" id="6301"/>
    <tableColumn name="Column6283" id="6302"/>
    <tableColumn name="Column6284" id="6303"/>
    <tableColumn name="Column6285" id="6304"/>
    <tableColumn name="Column6286" id="6305"/>
    <tableColumn name="Column6287" id="6306"/>
    <tableColumn name="Column6288" id="6307"/>
    <tableColumn name="Column6289" id="6308"/>
    <tableColumn name="Column6290" id="6309"/>
    <tableColumn name="Column6291" id="6310"/>
    <tableColumn name="Column6292" id="6311"/>
    <tableColumn name="Column6293" id="6312"/>
    <tableColumn name="Column6294" id="6313"/>
    <tableColumn name="Column6295" id="6314"/>
    <tableColumn name="Column6296" id="6315"/>
    <tableColumn name="Column6297" id="6316"/>
    <tableColumn name="Column6298" id="6317"/>
    <tableColumn name="Column6299" id="6318"/>
    <tableColumn name="Column6300" id="6319"/>
    <tableColumn name="Column6301" id="6320"/>
    <tableColumn name="Column6302" id="6321"/>
    <tableColumn name="Column6303" id="6322"/>
    <tableColumn name="Column6304" id="6323"/>
    <tableColumn name="Column6305" id="6324"/>
    <tableColumn name="Column6306" id="6325"/>
    <tableColumn name="Column6307" id="6326"/>
    <tableColumn name="Column6308" id="6327"/>
    <tableColumn name="Column6309" id="6328"/>
    <tableColumn name="Column6310" id="6329"/>
    <tableColumn name="Column6311" id="6330"/>
    <tableColumn name="Column6312" id="6331"/>
    <tableColumn name="Column6313" id="6332"/>
    <tableColumn name="Column6314" id="6333"/>
    <tableColumn name="Column6315" id="6334"/>
    <tableColumn name="Column6316" id="6335"/>
    <tableColumn name="Column6317" id="6336"/>
    <tableColumn name="Column6318" id="6337"/>
    <tableColumn name="Column6319" id="6338"/>
    <tableColumn name="Column6320" id="6339"/>
    <tableColumn name="Column6321" id="6340"/>
    <tableColumn name="Column6322" id="6341"/>
    <tableColumn name="Column6323" id="6342"/>
    <tableColumn name="Column6324" id="6343"/>
    <tableColumn name="Column6325" id="6344"/>
    <tableColumn name="Column6326" id="6345"/>
    <tableColumn name="Column6327" id="6346"/>
    <tableColumn name="Column6328" id="6347"/>
    <tableColumn name="Column6329" id="6348"/>
    <tableColumn name="Column6330" id="6349"/>
    <tableColumn name="Column6331" id="6350"/>
    <tableColumn name="Column6332" id="6351"/>
    <tableColumn name="Column6333" id="6352"/>
    <tableColumn name="Column6334" id="6353"/>
    <tableColumn name="Column6335" id="6354"/>
    <tableColumn name="Column6336" id="6355"/>
    <tableColumn name="Column6337" id="6356"/>
    <tableColumn name="Column6338" id="6357"/>
    <tableColumn name="Column6339" id="6358"/>
    <tableColumn name="Column6340" id="6359"/>
    <tableColumn name="Column6341" id="6360"/>
    <tableColumn name="Column6342" id="6361"/>
    <tableColumn name="Column6343" id="6362"/>
    <tableColumn name="Column6344" id="6363"/>
    <tableColumn name="Column6345" id="6364"/>
    <tableColumn name="Column6346" id="6365"/>
    <tableColumn name="Column6347" id="6366"/>
    <tableColumn name="Column6348" id="6367"/>
    <tableColumn name="Column6349" id="6368"/>
    <tableColumn name="Column6350" id="6369"/>
    <tableColumn name="Column6351" id="6370"/>
    <tableColumn name="Column6352" id="6371"/>
    <tableColumn name="Column6353" id="6372"/>
    <tableColumn name="Column6354" id="6373"/>
    <tableColumn name="Column6355" id="6374"/>
    <tableColumn name="Column6356" id="6375"/>
    <tableColumn name="Column6357" id="6376"/>
    <tableColumn name="Column6358" id="6377"/>
    <tableColumn name="Column6359" id="6378"/>
    <tableColumn name="Column6360" id="6379"/>
    <tableColumn name="Column6361" id="6380"/>
    <tableColumn name="Column6362" id="6381"/>
    <tableColumn name="Column6363" id="6382"/>
    <tableColumn name="Column6364" id="6383"/>
    <tableColumn name="Column6365" id="6384"/>
    <tableColumn name="Column6366" id="6385"/>
    <tableColumn name="Column6367" id="6386"/>
    <tableColumn name="Column6368" id="6387"/>
    <tableColumn name="Column6369" id="6388"/>
    <tableColumn name="Column6370" id="6389"/>
    <tableColumn name="Column6371" id="6390"/>
    <tableColumn name="Column6372" id="6391"/>
    <tableColumn name="Column6373" id="6392"/>
    <tableColumn name="Column6374" id="6393"/>
    <tableColumn name="Column6375" id="6394"/>
    <tableColumn name="Column6376" id="6395"/>
    <tableColumn name="Column6377" id="6396"/>
    <tableColumn name="Column6378" id="6397"/>
    <tableColumn name="Column6379" id="6398"/>
    <tableColumn name="Column6380" id="6399"/>
    <tableColumn name="Column6381" id="6400"/>
    <tableColumn name="Column6382" id="6401"/>
    <tableColumn name="Column6383" id="6402"/>
    <tableColumn name="Column6384" id="6403"/>
    <tableColumn name="Column6385" id="6404"/>
    <tableColumn name="Column6386" id="6405"/>
    <tableColumn name="Column6387" id="6406"/>
    <tableColumn name="Column6388" id="6407"/>
    <tableColumn name="Column6389" id="6408"/>
    <tableColumn name="Column6390" id="6409"/>
    <tableColumn name="Column6391" id="6410"/>
    <tableColumn name="Column6392" id="6411"/>
    <tableColumn name="Column6393" id="6412"/>
    <tableColumn name="Column6394" id="6413"/>
    <tableColumn name="Column6395" id="6414"/>
    <tableColumn name="Column6396" id="6415"/>
    <tableColumn name="Column6397" id="6416"/>
    <tableColumn name="Column6398" id="6417"/>
    <tableColumn name="Column6399" id="6418"/>
    <tableColumn name="Column6400" id="6419"/>
    <tableColumn name="Column6401" id="6420"/>
    <tableColumn name="Column6402" id="6421"/>
    <tableColumn name="Column6403" id="6422"/>
    <tableColumn name="Column6404" id="6423"/>
    <tableColumn name="Column6405" id="6424"/>
    <tableColumn name="Column6406" id="6425"/>
    <tableColumn name="Column6407" id="6426"/>
    <tableColumn name="Column6408" id="6427"/>
    <tableColumn name="Column6409" id="6428"/>
    <tableColumn name="Column6410" id="6429"/>
    <tableColumn name="Column6411" id="6430"/>
    <tableColumn name="Column6412" id="6431"/>
    <tableColumn name="Column6413" id="6432"/>
    <tableColumn name="Column6414" id="6433"/>
    <tableColumn name="Column6415" id="6434"/>
    <tableColumn name="Column6416" id="6435"/>
    <tableColumn name="Column6417" id="6436"/>
    <tableColumn name="Column6418" id="6437"/>
    <tableColumn name="Column6419" id="6438"/>
    <tableColumn name="Column6420" id="6439"/>
    <tableColumn name="Column6421" id="6440"/>
    <tableColumn name="Column6422" id="6441"/>
    <tableColumn name="Column6423" id="6442"/>
    <tableColumn name="Column6424" id="6443"/>
    <tableColumn name="Column6425" id="6444"/>
    <tableColumn name="Column6426" id="6445"/>
    <tableColumn name="Column6427" id="6446"/>
    <tableColumn name="Column6428" id="6447"/>
    <tableColumn name="Column6429" id="6448"/>
    <tableColumn name="Column6430" id="6449"/>
    <tableColumn name="Column6431" id="6450"/>
    <tableColumn name="Column6432" id="6451"/>
    <tableColumn name="Column6433" id="6452"/>
    <tableColumn name="Column6434" id="6453"/>
    <tableColumn name="Column6435" id="6454"/>
    <tableColumn name="Column6436" id="6455"/>
    <tableColumn name="Column6437" id="6456"/>
    <tableColumn name="Column6438" id="6457"/>
    <tableColumn name="Column6439" id="6458"/>
    <tableColumn name="Column6440" id="6459"/>
    <tableColumn name="Column6441" id="6460"/>
    <tableColumn name="Column6442" id="6461"/>
    <tableColumn name="Column6443" id="6462"/>
    <tableColumn name="Column6444" id="6463"/>
    <tableColumn name="Column6445" id="6464"/>
    <tableColumn name="Column6446" id="6465"/>
    <tableColumn name="Column6447" id="6466"/>
    <tableColumn name="Column6448" id="6467"/>
    <tableColumn name="Column6449" id="6468"/>
    <tableColumn name="Column6450" id="6469"/>
    <tableColumn name="Column6451" id="6470"/>
    <tableColumn name="Column6452" id="6471"/>
    <tableColumn name="Column6453" id="6472"/>
    <tableColumn name="Column6454" id="6473"/>
    <tableColumn name="Column6455" id="6474"/>
    <tableColumn name="Column6456" id="6475"/>
    <tableColumn name="Column6457" id="6476"/>
    <tableColumn name="Column6458" id="6477"/>
    <tableColumn name="Column6459" id="6478"/>
    <tableColumn name="Column6460" id="6479"/>
    <tableColumn name="Column6461" id="6480"/>
    <tableColumn name="Column6462" id="6481"/>
    <tableColumn name="Column6463" id="6482"/>
    <tableColumn name="Column6464" id="6483"/>
    <tableColumn name="Column6465" id="6484"/>
    <tableColumn name="Column6466" id="6485"/>
    <tableColumn name="Column6467" id="6486"/>
    <tableColumn name="Column6468" id="6487"/>
    <tableColumn name="Column6469" id="6488"/>
    <tableColumn name="Column6470" id="6489"/>
    <tableColumn name="Column6471" id="6490"/>
    <tableColumn name="Column6472" id="6491"/>
    <tableColumn name="Column6473" id="6492"/>
    <tableColumn name="Column6474" id="6493"/>
    <tableColumn name="Column6475" id="6494"/>
    <tableColumn name="Column6476" id="6495"/>
    <tableColumn name="Column6477" id="6496"/>
    <tableColumn name="Column6478" id="6497"/>
    <tableColumn name="Column6479" id="6498"/>
    <tableColumn name="Column6480" id="6499"/>
    <tableColumn name="Column6481" id="6500"/>
    <tableColumn name="Column6482" id="6501"/>
    <tableColumn name="Column6483" id="6502"/>
    <tableColumn name="Column6484" id="6503"/>
    <tableColumn name="Column6485" id="6504"/>
    <tableColumn name="Column6486" id="6505"/>
    <tableColumn name="Column6487" id="6506"/>
    <tableColumn name="Column6488" id="6507"/>
    <tableColumn name="Column6489" id="6508"/>
    <tableColumn name="Column6490" id="6509"/>
    <tableColumn name="Column6491" id="6510"/>
    <tableColumn name="Column6492" id="6511"/>
    <tableColumn name="Column6493" id="6512"/>
    <tableColumn name="Column6494" id="6513"/>
    <tableColumn name="Column6495" id="6514"/>
    <tableColumn name="Column6496" id="6515"/>
    <tableColumn name="Column6497" id="6516"/>
    <tableColumn name="Column6498" id="6517"/>
    <tableColumn name="Column6499" id="6518"/>
    <tableColumn name="Column6500" id="6519"/>
    <tableColumn name="Column6501" id="6520"/>
    <tableColumn name="Column6502" id="6521"/>
    <tableColumn name="Column6503" id="6522"/>
    <tableColumn name="Column6504" id="6523"/>
    <tableColumn name="Column6505" id="6524"/>
    <tableColumn name="Column6506" id="6525"/>
    <tableColumn name="Column6507" id="6526"/>
    <tableColumn name="Column6508" id="6527"/>
    <tableColumn name="Column6509" id="6528"/>
    <tableColumn name="Column6510" id="6529"/>
    <tableColumn name="Column6511" id="6530"/>
    <tableColumn name="Column6512" id="6531"/>
    <tableColumn name="Column6513" id="6532"/>
    <tableColumn name="Column6514" id="6533"/>
    <tableColumn name="Column6515" id="6534"/>
    <tableColumn name="Column6516" id="6535"/>
    <tableColumn name="Column6517" id="6536"/>
    <tableColumn name="Column6518" id="6537"/>
    <tableColumn name="Column6519" id="6538"/>
    <tableColumn name="Column6520" id="6539"/>
    <tableColumn name="Column6521" id="6540"/>
    <tableColumn name="Column6522" id="6541"/>
    <tableColumn name="Column6523" id="6542"/>
    <tableColumn name="Column6524" id="6543"/>
    <tableColumn name="Column6525" id="6544"/>
    <tableColumn name="Column6526" id="6545"/>
    <tableColumn name="Column6527" id="6546"/>
    <tableColumn name="Column6528" id="6547"/>
    <tableColumn name="Column6529" id="6548"/>
    <tableColumn name="Column6530" id="6549"/>
    <tableColumn name="Column6531" id="6550"/>
    <tableColumn name="Column6532" id="6551"/>
    <tableColumn name="Column6533" id="6552"/>
    <tableColumn name="Column6534" id="6553"/>
    <tableColumn name="Column6535" id="6554"/>
    <tableColumn name="Column6536" id="6555"/>
    <tableColumn name="Column6537" id="6556"/>
    <tableColumn name="Column6538" id="6557"/>
    <tableColumn name="Column6539" id="6558"/>
    <tableColumn name="Column6540" id="6559"/>
    <tableColumn name="Column6541" id="6560"/>
    <tableColumn name="Column6542" id="6561"/>
    <tableColumn name="Column6543" id="6562"/>
    <tableColumn name="Column6544" id="6563"/>
    <tableColumn name="Column6545" id="6564"/>
    <tableColumn name="Column6546" id="6565"/>
    <tableColumn name="Column6547" id="6566"/>
    <tableColumn name="Column6548" id="6567"/>
    <tableColumn name="Column6549" id="6568"/>
    <tableColumn name="Column6550" id="6569"/>
    <tableColumn name="Column6551" id="6570"/>
    <tableColumn name="Column6552" id="6571"/>
    <tableColumn name="Column6553" id="6572"/>
    <tableColumn name="Column6554" id="6573"/>
    <tableColumn name="Column6555" id="6574"/>
    <tableColumn name="Column6556" id="6575"/>
    <tableColumn name="Column6557" id="6576"/>
    <tableColumn name="Column6558" id="6577"/>
    <tableColumn name="Column6559" id="6578"/>
    <tableColumn name="Column6560" id="6579"/>
    <tableColumn name="Column6561" id="6580"/>
    <tableColumn name="Column6562" id="6581"/>
    <tableColumn name="Column6563" id="6582"/>
    <tableColumn name="Column6564" id="6583"/>
    <tableColumn name="Column6565" id="6584"/>
    <tableColumn name="Column6566" id="6585"/>
    <tableColumn name="Column6567" id="6586"/>
    <tableColumn name="Column6568" id="6587"/>
    <tableColumn name="Column6569" id="6588"/>
    <tableColumn name="Column6570" id="6589"/>
    <tableColumn name="Column6571" id="6590"/>
    <tableColumn name="Column6572" id="6591"/>
    <tableColumn name="Column6573" id="6592"/>
    <tableColumn name="Column6574" id="6593"/>
    <tableColumn name="Column6575" id="6594"/>
    <tableColumn name="Column6576" id="6595"/>
    <tableColumn name="Column6577" id="6596"/>
    <tableColumn name="Column6578" id="6597"/>
    <tableColumn name="Column6579" id="6598"/>
    <tableColumn name="Column6580" id="6599"/>
    <tableColumn name="Column6581" id="6600"/>
    <tableColumn name="Column6582" id="6601"/>
    <tableColumn name="Column6583" id="6602"/>
    <tableColumn name="Column6584" id="6603"/>
    <tableColumn name="Column6585" id="6604"/>
    <tableColumn name="Column6586" id="6605"/>
    <tableColumn name="Column6587" id="6606"/>
    <tableColumn name="Column6588" id="6607"/>
    <tableColumn name="Column6589" id="6608"/>
    <tableColumn name="Column6590" id="6609"/>
    <tableColumn name="Column6591" id="6610"/>
    <tableColumn name="Column6592" id="6611"/>
    <tableColumn name="Column6593" id="6612"/>
    <tableColumn name="Column6594" id="6613"/>
    <tableColumn name="Column6595" id="6614"/>
    <tableColumn name="Column6596" id="6615"/>
    <tableColumn name="Column6597" id="6616"/>
    <tableColumn name="Column6598" id="6617"/>
    <tableColumn name="Column6599" id="6618"/>
    <tableColumn name="Column6600" id="6619"/>
    <tableColumn name="Column6601" id="6620"/>
    <tableColumn name="Column6602" id="6621"/>
    <tableColumn name="Column6603" id="6622"/>
    <tableColumn name="Column6604" id="6623"/>
    <tableColumn name="Column6605" id="6624"/>
    <tableColumn name="Column6606" id="6625"/>
    <tableColumn name="Column6607" id="6626"/>
    <tableColumn name="Column6608" id="6627"/>
    <tableColumn name="Column6609" id="6628"/>
    <tableColumn name="Column6610" id="6629"/>
    <tableColumn name="Column6611" id="6630"/>
    <tableColumn name="Column6612" id="6631"/>
    <tableColumn name="Column6613" id="6632"/>
    <tableColumn name="Column6614" id="6633"/>
    <tableColumn name="Column6615" id="6634"/>
    <tableColumn name="Column6616" id="6635"/>
    <tableColumn name="Column6617" id="6636"/>
    <tableColumn name="Column6618" id="6637"/>
    <tableColumn name="Column6619" id="6638"/>
    <tableColumn name="Column6620" id="6639"/>
    <tableColumn name="Column6621" id="6640"/>
    <tableColumn name="Column6622" id="6641"/>
    <tableColumn name="Column6623" id="6642"/>
    <tableColumn name="Column6624" id="6643"/>
    <tableColumn name="Column6625" id="6644"/>
    <tableColumn name="Column6626" id="6645"/>
    <tableColumn name="Column6627" id="6646"/>
    <tableColumn name="Column6628" id="6647"/>
    <tableColumn name="Column6629" id="6648"/>
    <tableColumn name="Column6630" id="6649"/>
    <tableColumn name="Column6631" id="6650"/>
    <tableColumn name="Column6632" id="6651"/>
    <tableColumn name="Column6633" id="6652"/>
    <tableColumn name="Column6634" id="6653"/>
    <tableColumn name="Column6635" id="6654"/>
    <tableColumn name="Column6636" id="6655"/>
    <tableColumn name="Column6637" id="6656"/>
    <tableColumn name="Column6638" id="6657"/>
    <tableColumn name="Column6639" id="6658"/>
    <tableColumn name="Column6640" id="6659"/>
    <tableColumn name="Column6641" id="6660"/>
    <tableColumn name="Column6642" id="6661"/>
    <tableColumn name="Column6643" id="6662"/>
    <tableColumn name="Column6644" id="6663"/>
    <tableColumn name="Column6645" id="6664"/>
    <tableColumn name="Column6646" id="6665"/>
    <tableColumn name="Column6647" id="6666"/>
    <tableColumn name="Column6648" id="6667"/>
    <tableColumn name="Column6649" id="6668"/>
    <tableColumn name="Column6650" id="6669"/>
    <tableColumn name="Column6651" id="6670"/>
    <tableColumn name="Column6652" id="6671"/>
    <tableColumn name="Column6653" id="6672"/>
    <tableColumn name="Column6654" id="6673"/>
    <tableColumn name="Column6655" id="6674"/>
    <tableColumn name="Column6656" id="6675"/>
    <tableColumn name="Column6657" id="6676"/>
    <tableColumn name="Column6658" id="6677"/>
    <tableColumn name="Column6659" id="6678"/>
    <tableColumn name="Column6660" id="6679"/>
    <tableColumn name="Column6661" id="6680"/>
    <tableColumn name="Column6662" id="6681"/>
    <tableColumn name="Column6663" id="6682"/>
    <tableColumn name="Column6664" id="6683"/>
    <tableColumn name="Column6665" id="6684"/>
    <tableColumn name="Column6666" id="6685"/>
    <tableColumn name="Column6667" id="6686"/>
    <tableColumn name="Column6668" id="6687"/>
    <tableColumn name="Column6669" id="6688"/>
    <tableColumn name="Column6670" id="6689"/>
    <tableColumn name="Column6671" id="6690"/>
    <tableColumn name="Column6672" id="6691"/>
    <tableColumn name="Column6673" id="6692"/>
    <tableColumn name="Column6674" id="6693"/>
    <tableColumn name="Column6675" id="6694"/>
    <tableColumn name="Column6676" id="6695"/>
    <tableColumn name="Column6677" id="6696"/>
    <tableColumn name="Column6678" id="6697"/>
    <tableColumn name="Column6679" id="6698"/>
    <tableColumn name="Column6680" id="6699"/>
    <tableColumn name="Column6681" id="6700"/>
    <tableColumn name="Column6682" id="6701"/>
    <tableColumn name="Column6683" id="6702"/>
    <tableColumn name="Column6684" id="6703"/>
    <tableColumn name="Column6685" id="6704"/>
    <tableColumn name="Column6686" id="6705"/>
    <tableColumn name="Column6687" id="6706"/>
    <tableColumn name="Column6688" id="6707"/>
    <tableColumn name="Column6689" id="6708"/>
    <tableColumn name="Column6690" id="6709"/>
    <tableColumn name="Column6691" id="6710"/>
    <tableColumn name="Column6692" id="6711"/>
    <tableColumn name="Column6693" id="6712"/>
    <tableColumn name="Column6694" id="6713"/>
    <tableColumn name="Column6695" id="6714"/>
    <tableColumn name="Column6696" id="6715"/>
    <tableColumn name="Column6697" id="6716"/>
    <tableColumn name="Column6698" id="6717"/>
    <tableColumn name="Column6699" id="6718"/>
    <tableColumn name="Column6700" id="6719"/>
    <tableColumn name="Column6701" id="6720"/>
    <tableColumn name="Column6702" id="6721"/>
    <tableColumn name="Column6703" id="6722"/>
    <tableColumn name="Column6704" id="6723"/>
    <tableColumn name="Column6705" id="6724"/>
    <tableColumn name="Column6706" id="6725"/>
    <tableColumn name="Column6707" id="6726"/>
    <tableColumn name="Column6708" id="6727"/>
    <tableColumn name="Column6709" id="6728"/>
    <tableColumn name="Column6710" id="6729"/>
    <tableColumn name="Column6711" id="6730"/>
    <tableColumn name="Column6712" id="6731"/>
    <tableColumn name="Column6713" id="6732"/>
    <tableColumn name="Column6714" id="6733"/>
    <tableColumn name="Column6715" id="6734"/>
    <tableColumn name="Column6716" id="6735"/>
    <tableColumn name="Column6717" id="6736"/>
    <tableColumn name="Column6718" id="6737"/>
    <tableColumn name="Column6719" id="6738"/>
    <tableColumn name="Column6720" id="6739"/>
    <tableColumn name="Column6721" id="6740"/>
    <tableColumn name="Column6722" id="6741"/>
    <tableColumn name="Column6723" id="6742"/>
    <tableColumn name="Column6724" id="6743"/>
    <tableColumn name="Column6725" id="6744"/>
    <tableColumn name="Column6726" id="6745"/>
    <tableColumn name="Column6727" id="6746"/>
    <tableColumn name="Column6728" id="6747"/>
    <tableColumn name="Column6729" id="6748"/>
    <tableColumn name="Column6730" id="6749"/>
    <tableColumn name="Column6731" id="6750"/>
    <tableColumn name="Column6732" id="6751"/>
    <tableColumn name="Column6733" id="6752"/>
    <tableColumn name="Column6734" id="6753"/>
    <tableColumn name="Column6735" id="6754"/>
    <tableColumn name="Column6736" id="6755"/>
    <tableColumn name="Column6737" id="6756"/>
    <tableColumn name="Column6738" id="6757"/>
    <tableColumn name="Column6739" id="6758"/>
    <tableColumn name="Column6740" id="6759"/>
    <tableColumn name="Column6741" id="6760"/>
    <tableColumn name="Column6742" id="6761"/>
    <tableColumn name="Column6743" id="6762"/>
    <tableColumn name="Column6744" id="6763"/>
    <tableColumn name="Column6745" id="6764"/>
    <tableColumn name="Column6746" id="6765"/>
    <tableColumn name="Column6747" id="6766"/>
    <tableColumn name="Column6748" id="6767"/>
    <tableColumn name="Column6749" id="6768"/>
    <tableColumn name="Column6750" id="6769"/>
    <tableColumn name="Column6751" id="6770"/>
    <tableColumn name="Column6752" id="6771"/>
    <tableColumn name="Column6753" id="6772"/>
    <tableColumn name="Column6754" id="6773"/>
    <tableColumn name="Column6755" id="6774"/>
    <tableColumn name="Column6756" id="6775"/>
    <tableColumn name="Column6757" id="6776"/>
    <tableColumn name="Column6758" id="6777"/>
    <tableColumn name="Column6759" id="6778"/>
    <tableColumn name="Column6760" id="6779"/>
    <tableColumn name="Column6761" id="6780"/>
    <tableColumn name="Column6762" id="6781"/>
    <tableColumn name="Column6763" id="6782"/>
    <tableColumn name="Column6764" id="6783"/>
    <tableColumn name="Column6765" id="6784"/>
    <tableColumn name="Column6766" id="6785"/>
    <tableColumn name="Column6767" id="6786"/>
    <tableColumn name="Column6768" id="6787"/>
    <tableColumn name="Column6769" id="6788"/>
    <tableColumn name="Column6770" id="6789"/>
    <tableColumn name="Column6771" id="6790"/>
    <tableColumn name="Column6772" id="6791"/>
    <tableColumn name="Column6773" id="6792"/>
    <tableColumn name="Column6774" id="6793"/>
    <tableColumn name="Column6775" id="6794"/>
    <tableColumn name="Column6776" id="6795"/>
    <tableColumn name="Column6777" id="6796"/>
    <tableColumn name="Column6778" id="6797"/>
    <tableColumn name="Column6779" id="6798"/>
    <tableColumn name="Column6780" id="6799"/>
    <tableColumn name="Column6781" id="6800"/>
    <tableColumn name="Column6782" id="6801"/>
    <tableColumn name="Column6783" id="6802"/>
    <tableColumn name="Column6784" id="6803"/>
    <tableColumn name="Column6785" id="6804"/>
    <tableColumn name="Column6786" id="6805"/>
    <tableColumn name="Column6787" id="6806"/>
    <tableColumn name="Column6788" id="6807"/>
    <tableColumn name="Column6789" id="6808"/>
    <tableColumn name="Column6790" id="6809"/>
    <tableColumn name="Column6791" id="6810"/>
    <tableColumn name="Column6792" id="6811"/>
    <tableColumn name="Column6793" id="6812"/>
    <tableColumn name="Column6794" id="6813"/>
    <tableColumn name="Column6795" id="6814"/>
    <tableColumn name="Column6796" id="6815"/>
    <tableColumn name="Column6797" id="6816"/>
    <tableColumn name="Column6798" id="6817"/>
    <tableColumn name="Column6799" id="6818"/>
    <tableColumn name="Column6800" id="6819"/>
    <tableColumn name="Column6801" id="6820"/>
    <tableColumn name="Column6802" id="6821"/>
    <tableColumn name="Column6803" id="6822"/>
    <tableColumn name="Column6804" id="6823"/>
    <tableColumn name="Column6805" id="6824"/>
    <tableColumn name="Column6806" id="6825"/>
    <tableColumn name="Column6807" id="6826"/>
    <tableColumn name="Column6808" id="6827"/>
    <tableColumn name="Column6809" id="6828"/>
    <tableColumn name="Column6810" id="6829"/>
    <tableColumn name="Column6811" id="6830"/>
    <tableColumn name="Column6812" id="6831"/>
    <tableColumn name="Column6813" id="6832"/>
    <tableColumn name="Column6814" id="6833"/>
    <tableColumn name="Column6815" id="6834"/>
    <tableColumn name="Column6816" id="6835"/>
    <tableColumn name="Column6817" id="6836"/>
    <tableColumn name="Column6818" id="6837"/>
    <tableColumn name="Column6819" id="6838"/>
    <tableColumn name="Column6820" id="6839"/>
    <tableColumn name="Column6821" id="6840"/>
    <tableColumn name="Column6822" id="6841"/>
    <tableColumn name="Column6823" id="6842"/>
    <tableColumn name="Column6824" id="6843"/>
    <tableColumn name="Column6825" id="6844"/>
    <tableColumn name="Column6826" id="6845"/>
    <tableColumn name="Column6827" id="6846"/>
    <tableColumn name="Column6828" id="6847"/>
    <tableColumn name="Column6829" id="6848"/>
    <tableColumn name="Column6830" id="6849"/>
    <tableColumn name="Column6831" id="6850"/>
    <tableColumn name="Column6832" id="6851"/>
    <tableColumn name="Column6833" id="6852"/>
    <tableColumn name="Column6834" id="6853"/>
    <tableColumn name="Column6835" id="6854"/>
    <tableColumn name="Column6836" id="6855"/>
    <tableColumn name="Column6837" id="6856"/>
    <tableColumn name="Column6838" id="6857"/>
    <tableColumn name="Column6839" id="6858"/>
    <tableColumn name="Column6840" id="6859"/>
    <tableColumn name="Column6841" id="6860"/>
    <tableColumn name="Column6842" id="6861"/>
    <tableColumn name="Column6843" id="6862"/>
    <tableColumn name="Column6844" id="6863"/>
    <tableColumn name="Column6845" id="6864"/>
    <tableColumn name="Column6846" id="6865"/>
    <tableColumn name="Column6847" id="6866"/>
    <tableColumn name="Column6848" id="6867"/>
    <tableColumn name="Column6849" id="6868"/>
    <tableColumn name="Column6850" id="6869"/>
    <tableColumn name="Column6851" id="6870"/>
    <tableColumn name="Column6852" id="6871"/>
    <tableColumn name="Column6853" id="6872"/>
    <tableColumn name="Column6854" id="6873"/>
    <tableColumn name="Column6855" id="6874"/>
    <tableColumn name="Column6856" id="6875"/>
    <tableColumn name="Column6857" id="6876"/>
    <tableColumn name="Column6858" id="6877"/>
    <tableColumn name="Column6859" id="6878"/>
    <tableColumn name="Column6860" id="6879"/>
    <tableColumn name="Column6861" id="6880"/>
    <tableColumn name="Column6862" id="6881"/>
    <tableColumn name="Column6863" id="6882"/>
    <tableColumn name="Column6864" id="6883"/>
    <tableColumn name="Column6865" id="6884"/>
    <tableColumn name="Column6866" id="6885"/>
    <tableColumn name="Column6867" id="6886"/>
    <tableColumn name="Column6868" id="6887"/>
    <tableColumn name="Column6869" id="6888"/>
    <tableColumn name="Column6870" id="6889"/>
    <tableColumn name="Column6871" id="6890"/>
    <tableColumn name="Column6872" id="6891"/>
    <tableColumn name="Column6873" id="6892"/>
    <tableColumn name="Column6874" id="6893"/>
    <tableColumn name="Column6875" id="6894"/>
    <tableColumn name="Column6876" id="6895"/>
    <tableColumn name="Column6877" id="6896"/>
    <tableColumn name="Column6878" id="6897"/>
    <tableColumn name="Column6879" id="6898"/>
    <tableColumn name="Column6880" id="6899"/>
    <tableColumn name="Column6881" id="6900"/>
    <tableColumn name="Column6882" id="6901"/>
    <tableColumn name="Column6883" id="6902"/>
    <tableColumn name="Column6884" id="6903"/>
    <tableColumn name="Column6885" id="6904"/>
    <tableColumn name="Column6886" id="6905"/>
    <tableColumn name="Column6887" id="6906"/>
    <tableColumn name="Column6888" id="6907"/>
    <tableColumn name="Column6889" id="6908"/>
    <tableColumn name="Column6890" id="6909"/>
    <tableColumn name="Column6891" id="6910"/>
    <tableColumn name="Column6892" id="6911"/>
    <tableColumn name="Column6893" id="6912"/>
    <tableColumn name="Column6894" id="6913"/>
    <tableColumn name="Column6895" id="6914"/>
    <tableColumn name="Column6896" id="6915"/>
    <tableColumn name="Column6897" id="6916"/>
    <tableColumn name="Column6898" id="6917"/>
    <tableColumn name="Column6899" id="6918"/>
    <tableColumn name="Column6900" id="6919"/>
    <tableColumn name="Column6901" id="6920"/>
    <tableColumn name="Column6902" id="6921"/>
    <tableColumn name="Column6903" id="6922"/>
    <tableColumn name="Column6904" id="6923"/>
    <tableColumn name="Column6905" id="6924"/>
    <tableColumn name="Column6906" id="6925"/>
    <tableColumn name="Column6907" id="6926"/>
    <tableColumn name="Column6908" id="6927"/>
    <tableColumn name="Column6909" id="6928"/>
    <tableColumn name="Column6910" id="6929"/>
    <tableColumn name="Column6911" id="6930"/>
    <tableColumn name="Column6912" id="6931"/>
    <tableColumn name="Column6913" id="6932"/>
    <tableColumn name="Column6914" id="6933"/>
    <tableColumn name="Column6915" id="6934"/>
    <tableColumn name="Column6916" id="6935"/>
    <tableColumn name="Column6917" id="6936"/>
    <tableColumn name="Column6918" id="6937"/>
    <tableColumn name="Column6919" id="6938"/>
    <tableColumn name="Column6920" id="6939"/>
    <tableColumn name="Column6921" id="6940"/>
    <tableColumn name="Column6922" id="6941"/>
    <tableColumn name="Column6923" id="6942"/>
    <tableColumn name="Column6924" id="6943"/>
    <tableColumn name="Column6925" id="6944"/>
    <tableColumn name="Column6926" id="6945"/>
    <tableColumn name="Column6927" id="6946"/>
    <tableColumn name="Column6928" id="6947"/>
    <tableColumn name="Column6929" id="6948"/>
    <tableColumn name="Column6930" id="6949"/>
    <tableColumn name="Column6931" id="6950"/>
    <tableColumn name="Column6932" id="6951"/>
    <tableColumn name="Column6933" id="6952"/>
    <tableColumn name="Column6934" id="6953"/>
    <tableColumn name="Column6935" id="6954"/>
    <tableColumn name="Column6936" id="6955"/>
    <tableColumn name="Column6937" id="6956"/>
    <tableColumn name="Column6938" id="6957"/>
    <tableColumn name="Column6939" id="6958"/>
    <tableColumn name="Column6940" id="6959"/>
    <tableColumn name="Column6941" id="6960"/>
    <tableColumn name="Column6942" id="6961"/>
    <tableColumn name="Column6943" id="6962"/>
    <tableColumn name="Column6944" id="6963"/>
    <tableColumn name="Column6945" id="6964"/>
    <tableColumn name="Column6946" id="6965"/>
    <tableColumn name="Column6947" id="6966"/>
    <tableColumn name="Column6948" id="6967"/>
    <tableColumn name="Column6949" id="6968"/>
    <tableColumn name="Column6950" id="6969"/>
    <tableColumn name="Column6951" id="6970"/>
    <tableColumn name="Column6952" id="6971"/>
    <tableColumn name="Column6953" id="6972"/>
    <tableColumn name="Column6954" id="6973"/>
    <tableColumn name="Column6955" id="6974"/>
    <tableColumn name="Column6956" id="6975"/>
    <tableColumn name="Column6957" id="6976"/>
    <tableColumn name="Column6958" id="6977"/>
    <tableColumn name="Column6959" id="6978"/>
    <tableColumn name="Column6960" id="6979"/>
    <tableColumn name="Column6961" id="6980"/>
    <tableColumn name="Column6962" id="6981"/>
    <tableColumn name="Column6963" id="6982"/>
    <tableColumn name="Column6964" id="6983"/>
    <tableColumn name="Column6965" id="6984"/>
    <tableColumn name="Column6966" id="6985"/>
    <tableColumn name="Column6967" id="6986"/>
    <tableColumn name="Column6968" id="6987"/>
    <tableColumn name="Column6969" id="6988"/>
    <tableColumn name="Column6970" id="6989"/>
    <tableColumn name="Column6971" id="6990"/>
    <tableColumn name="Column6972" id="6991"/>
    <tableColumn name="Column6973" id="6992"/>
    <tableColumn name="Column6974" id="6993"/>
    <tableColumn name="Column6975" id="6994"/>
    <tableColumn name="Column6976" id="6995"/>
    <tableColumn name="Column6977" id="6996"/>
    <tableColumn name="Column6978" id="6997"/>
    <tableColumn name="Column6979" id="6998"/>
    <tableColumn name="Column6980" id="6999"/>
    <tableColumn name="Column6981" id="7000"/>
    <tableColumn name="Column6982" id="7001"/>
    <tableColumn name="Column6983" id="7002"/>
    <tableColumn name="Column6984" id="7003"/>
    <tableColumn name="Column6985" id="7004"/>
    <tableColumn name="Column6986" id="7005"/>
    <tableColumn name="Column6987" id="7006"/>
    <tableColumn name="Column6988" id="7007"/>
    <tableColumn name="Column6989" id="7008"/>
    <tableColumn name="Column6990" id="7009"/>
    <tableColumn name="Column6991" id="7010"/>
    <tableColumn name="Column6992" id="7011"/>
    <tableColumn name="Column6993" id="7012"/>
    <tableColumn name="Column6994" id="7013"/>
    <tableColumn name="Column6995" id="7014"/>
    <tableColumn name="Column6996" id="7015"/>
    <tableColumn name="Column6997" id="7016"/>
    <tableColumn name="Column6998" id="7017"/>
    <tableColumn name="Column6999" id="7018"/>
    <tableColumn name="Column7000" id="7019"/>
    <tableColumn name="Column7001" id="7020"/>
    <tableColumn name="Column7002" id="7021"/>
    <tableColumn name="Column7003" id="7022"/>
    <tableColumn name="Column7004" id="7023"/>
    <tableColumn name="Column7005" id="7024"/>
    <tableColumn name="Column7006" id="7025"/>
    <tableColumn name="Column7007" id="7026"/>
    <tableColumn name="Column7008" id="7027"/>
    <tableColumn name="Column7009" id="7028"/>
    <tableColumn name="Column7010" id="7029"/>
    <tableColumn name="Column7011" id="7030"/>
    <tableColumn name="Column7012" id="7031"/>
    <tableColumn name="Column7013" id="7032"/>
    <tableColumn name="Column7014" id="7033"/>
    <tableColumn name="Column7015" id="7034"/>
    <tableColumn name="Column7016" id="7035"/>
    <tableColumn name="Column7017" id="7036"/>
    <tableColumn name="Column7018" id="7037"/>
    <tableColumn name="Column7019" id="7038"/>
    <tableColumn name="Column7020" id="7039"/>
    <tableColumn name="Column7021" id="7040"/>
    <tableColumn name="Column7022" id="7041"/>
    <tableColumn name="Column7023" id="7042"/>
    <tableColumn name="Column7024" id="7043"/>
    <tableColumn name="Column7025" id="7044"/>
    <tableColumn name="Column7026" id="7045"/>
    <tableColumn name="Column7027" id="7046"/>
    <tableColumn name="Column7028" id="7047"/>
    <tableColumn name="Column7029" id="7048"/>
    <tableColumn name="Column7030" id="7049"/>
    <tableColumn name="Column7031" id="7050"/>
    <tableColumn name="Column7032" id="7051"/>
    <tableColumn name="Column7033" id="7052"/>
    <tableColumn name="Column7034" id="7053"/>
    <tableColumn name="Column7035" id="7054"/>
    <tableColumn name="Column7036" id="7055"/>
    <tableColumn name="Column7037" id="7056"/>
    <tableColumn name="Column7038" id="7057"/>
    <tableColumn name="Column7039" id="7058"/>
    <tableColumn name="Column7040" id="7059"/>
    <tableColumn name="Column7041" id="7060"/>
    <tableColumn name="Column7042" id="7061"/>
    <tableColumn name="Column7043" id="7062"/>
    <tableColumn name="Column7044" id="7063"/>
    <tableColumn name="Column7045" id="7064"/>
    <tableColumn name="Column7046" id="7065"/>
    <tableColumn name="Column7047" id="7066"/>
    <tableColumn name="Column7048" id="7067"/>
    <tableColumn name="Column7049" id="7068"/>
    <tableColumn name="Column7050" id="7069"/>
    <tableColumn name="Column7051" id="7070"/>
    <tableColumn name="Column7052" id="7071"/>
    <tableColumn name="Column7053" id="7072"/>
    <tableColumn name="Column7054" id="7073"/>
    <tableColumn name="Column7055" id="7074"/>
    <tableColumn name="Column7056" id="7075"/>
    <tableColumn name="Column7057" id="7076"/>
    <tableColumn name="Column7058" id="7077"/>
    <tableColumn name="Column7059" id="7078"/>
    <tableColumn name="Column7060" id="7079"/>
    <tableColumn name="Column7061" id="7080"/>
    <tableColumn name="Column7062" id="7081"/>
    <tableColumn name="Column7063" id="7082"/>
    <tableColumn name="Column7064" id="7083"/>
    <tableColumn name="Column7065" id="7084"/>
    <tableColumn name="Column7066" id="7085"/>
    <tableColumn name="Column7067" id="7086"/>
    <tableColumn name="Column7068" id="7087"/>
    <tableColumn name="Column7069" id="7088"/>
    <tableColumn name="Column7070" id="7089"/>
    <tableColumn name="Column7071" id="7090"/>
    <tableColumn name="Column7072" id="7091"/>
    <tableColumn name="Column7073" id="7092"/>
    <tableColumn name="Column7074" id="7093"/>
    <tableColumn name="Column7075" id="7094"/>
    <tableColumn name="Column7076" id="7095"/>
    <tableColumn name="Column7077" id="7096"/>
    <tableColumn name="Column7078" id="7097"/>
    <tableColumn name="Column7079" id="7098"/>
    <tableColumn name="Column7080" id="7099"/>
    <tableColumn name="Column7081" id="7100"/>
    <tableColumn name="Column7082" id="7101"/>
    <tableColumn name="Column7083" id="7102"/>
    <tableColumn name="Column7084" id="7103"/>
    <tableColumn name="Column7085" id="7104"/>
    <tableColumn name="Column7086" id="7105"/>
    <tableColumn name="Column7087" id="7106"/>
    <tableColumn name="Column7088" id="7107"/>
    <tableColumn name="Column7089" id="7108"/>
    <tableColumn name="Column7090" id="7109"/>
    <tableColumn name="Column7091" id="7110"/>
    <tableColumn name="Column7092" id="7111"/>
    <tableColumn name="Column7093" id="7112"/>
    <tableColumn name="Column7094" id="7113"/>
    <tableColumn name="Column7095" id="7114"/>
    <tableColumn name="Column7096" id="7115"/>
    <tableColumn name="Column7097" id="7116"/>
    <tableColumn name="Column7098" id="7117"/>
    <tableColumn name="Column7099" id="7118"/>
    <tableColumn name="Column7100" id="7119"/>
    <tableColumn name="Column7101" id="7120"/>
    <tableColumn name="Column7102" id="7121"/>
    <tableColumn name="Column7103" id="7122"/>
    <tableColumn name="Column7104" id="7123"/>
    <tableColumn name="Column7105" id="7124"/>
    <tableColumn name="Column7106" id="7125"/>
    <tableColumn name="Column7107" id="7126"/>
    <tableColumn name="Column7108" id="7127"/>
    <tableColumn name="Column7109" id="7128"/>
    <tableColumn name="Column7110" id="7129"/>
    <tableColumn name="Column7111" id="7130"/>
    <tableColumn name="Column7112" id="7131"/>
    <tableColumn name="Column7113" id="7132"/>
    <tableColumn name="Column7114" id="7133"/>
    <tableColumn name="Column7115" id="7134"/>
    <tableColumn name="Column7116" id="7135"/>
    <tableColumn name="Column7117" id="7136"/>
    <tableColumn name="Column7118" id="7137"/>
    <tableColumn name="Column7119" id="7138"/>
    <tableColumn name="Column7120" id="7139"/>
    <tableColumn name="Column7121" id="7140"/>
    <tableColumn name="Column7122" id="7141"/>
    <tableColumn name="Column7123" id="7142"/>
    <tableColumn name="Column7124" id="7143"/>
    <tableColumn name="Column7125" id="7144"/>
    <tableColumn name="Column7126" id="7145"/>
    <tableColumn name="Column7127" id="7146"/>
    <tableColumn name="Column7128" id="7147"/>
    <tableColumn name="Column7129" id="7148"/>
    <tableColumn name="Column7130" id="7149"/>
    <tableColumn name="Column7131" id="7150"/>
    <tableColumn name="Column7132" id="7151"/>
    <tableColumn name="Column7133" id="7152"/>
    <tableColumn name="Column7134" id="7153"/>
    <tableColumn name="Column7135" id="7154"/>
    <tableColumn name="Column7136" id="7155"/>
    <tableColumn name="Column7137" id="7156"/>
    <tableColumn name="Column7138" id="7157"/>
    <tableColumn name="Column7139" id="7158"/>
    <tableColumn name="Column7140" id="7159"/>
    <tableColumn name="Column7141" id="7160"/>
    <tableColumn name="Column7142" id="7161"/>
    <tableColumn name="Column7143" id="7162"/>
    <tableColumn name="Column7144" id="7163"/>
    <tableColumn name="Column7145" id="7164"/>
    <tableColumn name="Column7146" id="7165"/>
    <tableColumn name="Column7147" id="7166"/>
    <tableColumn name="Column7148" id="7167"/>
    <tableColumn name="Column7149" id="7168"/>
    <tableColumn name="Column7150" id="7169"/>
    <tableColumn name="Column7151" id="7170"/>
    <tableColumn name="Column7152" id="7171"/>
    <tableColumn name="Column7153" id="7172"/>
    <tableColumn name="Column7154" id="7173"/>
    <tableColumn name="Column7155" id="7174"/>
    <tableColumn name="Column7156" id="7175"/>
    <tableColumn name="Column7157" id="7176"/>
    <tableColumn name="Column7158" id="7177"/>
    <tableColumn name="Column7159" id="7178"/>
    <tableColumn name="Column7160" id="7179"/>
    <tableColumn name="Column7161" id="7180"/>
    <tableColumn name="Column7162" id="7181"/>
    <tableColumn name="Column7163" id="7182"/>
    <tableColumn name="Column7164" id="7183"/>
    <tableColumn name="Column7165" id="7184"/>
    <tableColumn name="Column7166" id="7185"/>
    <tableColumn name="Column7167" id="7186"/>
    <tableColumn name="Column7168" id="7187"/>
    <tableColumn name="Column7169" id="7188"/>
    <tableColumn name="Column7170" id="7189"/>
    <tableColumn name="Column7171" id="7190"/>
    <tableColumn name="Column7172" id="7191"/>
    <tableColumn name="Column7173" id="7192"/>
    <tableColumn name="Column7174" id="7193"/>
    <tableColumn name="Column7175" id="7194"/>
    <tableColumn name="Column7176" id="7195"/>
    <tableColumn name="Column7177" id="7196"/>
    <tableColumn name="Column7178" id="7197"/>
    <tableColumn name="Column7179" id="7198"/>
    <tableColumn name="Column7180" id="7199"/>
    <tableColumn name="Column7181" id="7200"/>
    <tableColumn name="Column7182" id="7201"/>
    <tableColumn name="Column7183" id="7202"/>
    <tableColumn name="Column7184" id="7203"/>
    <tableColumn name="Column7185" id="7204"/>
    <tableColumn name="Column7186" id="7205"/>
    <tableColumn name="Column7187" id="7206"/>
    <tableColumn name="Column7188" id="7207"/>
    <tableColumn name="Column7189" id="7208"/>
    <tableColumn name="Column7190" id="7209"/>
    <tableColumn name="Column7191" id="7210"/>
    <tableColumn name="Column7192" id="7211"/>
    <tableColumn name="Column7193" id="7212"/>
    <tableColumn name="Column7194" id="7213"/>
    <tableColumn name="Column7195" id="7214"/>
    <tableColumn name="Column7196" id="7215"/>
    <tableColumn name="Column7197" id="7216"/>
    <tableColumn name="Column7198" id="7217"/>
    <tableColumn name="Column7199" id="7218"/>
    <tableColumn name="Column7200" id="7219"/>
    <tableColumn name="Column7201" id="7220"/>
    <tableColumn name="Column7202" id="7221"/>
    <tableColumn name="Column7203" id="7222"/>
    <tableColumn name="Column7204" id="7223"/>
    <tableColumn name="Column7205" id="7224"/>
    <tableColumn name="Column7206" id="7225"/>
    <tableColumn name="Column7207" id="7226"/>
    <tableColumn name="Column7208" id="7227"/>
    <tableColumn name="Column7209" id="7228"/>
    <tableColumn name="Column7210" id="7229"/>
    <tableColumn name="Column7211" id="7230"/>
    <tableColumn name="Column7212" id="7231"/>
    <tableColumn name="Column7213" id="7232"/>
    <tableColumn name="Column7214" id="7233"/>
    <tableColumn name="Column7215" id="7234"/>
    <tableColumn name="Column7216" id="7235"/>
    <tableColumn name="Column7217" id="7236"/>
    <tableColumn name="Column7218" id="7237"/>
    <tableColumn name="Column7219" id="7238"/>
    <tableColumn name="Column7220" id="7239"/>
    <tableColumn name="Column7221" id="7240"/>
    <tableColumn name="Column7222" id="7241"/>
    <tableColumn name="Column7223" id="7242"/>
    <tableColumn name="Column7224" id="7243"/>
    <tableColumn name="Column7225" id="7244"/>
    <tableColumn name="Column7226" id="7245"/>
    <tableColumn name="Column7227" id="7246"/>
    <tableColumn name="Column7228" id="7247"/>
    <tableColumn name="Column7229" id="7248"/>
    <tableColumn name="Column7230" id="7249"/>
    <tableColumn name="Column7231" id="7250"/>
    <tableColumn name="Column7232" id="7251"/>
    <tableColumn name="Column7233" id="7252"/>
    <tableColumn name="Column7234" id="7253"/>
    <tableColumn name="Column7235" id="7254"/>
    <tableColumn name="Column7236" id="7255"/>
    <tableColumn name="Column7237" id="7256"/>
    <tableColumn name="Column7238" id="7257"/>
    <tableColumn name="Column7239" id="7258"/>
    <tableColumn name="Column7240" id="7259"/>
    <tableColumn name="Column7241" id="7260"/>
    <tableColumn name="Column7242" id="7261"/>
    <tableColumn name="Column7243" id="7262"/>
    <tableColumn name="Column7244" id="7263"/>
    <tableColumn name="Column7245" id="7264"/>
    <tableColumn name="Column7246" id="7265"/>
    <tableColumn name="Column7247" id="7266"/>
    <tableColumn name="Column7248" id="7267"/>
    <tableColumn name="Column7249" id="7268"/>
    <tableColumn name="Column7250" id="7269"/>
    <tableColumn name="Column7251" id="7270"/>
    <tableColumn name="Column7252" id="7271"/>
    <tableColumn name="Column7253" id="7272"/>
    <tableColumn name="Column7254" id="7273"/>
    <tableColumn name="Column7255" id="7274"/>
    <tableColumn name="Column7256" id="7275"/>
    <tableColumn name="Column7257" id="7276"/>
    <tableColumn name="Column7258" id="7277"/>
    <tableColumn name="Column7259" id="7278"/>
    <tableColumn name="Column7260" id="7279"/>
    <tableColumn name="Column7261" id="7280"/>
    <tableColumn name="Column7262" id="7281"/>
    <tableColumn name="Column7263" id="7282"/>
    <tableColumn name="Column7264" id="7283"/>
    <tableColumn name="Column7265" id="7284"/>
    <tableColumn name="Column7266" id="7285"/>
    <tableColumn name="Column7267" id="7286"/>
    <tableColumn name="Column7268" id="7287"/>
    <tableColumn name="Column7269" id="7288"/>
    <tableColumn name="Column7270" id="7289"/>
    <tableColumn name="Column7271" id="7290"/>
    <tableColumn name="Column7272" id="7291"/>
    <tableColumn name="Column7273" id="7292"/>
    <tableColumn name="Column7274" id="7293"/>
    <tableColumn name="Column7275" id="7294"/>
    <tableColumn name="Column7276" id="7295"/>
    <tableColumn name="Column7277" id="7296"/>
    <tableColumn name="Column7278" id="7297"/>
    <tableColumn name="Column7279" id="7298"/>
    <tableColumn name="Column7280" id="7299"/>
    <tableColumn name="Column7281" id="7300"/>
    <tableColumn name="Column7282" id="7301"/>
    <tableColumn name="Column7283" id="7302"/>
    <tableColumn name="Column7284" id="7303"/>
    <tableColumn name="Column7285" id="7304"/>
    <tableColumn name="Column7286" id="7305"/>
    <tableColumn name="Column7287" id="7306"/>
    <tableColumn name="Column7288" id="7307"/>
    <tableColumn name="Column7289" id="7308"/>
    <tableColumn name="Column7290" id="7309"/>
    <tableColumn name="Column7291" id="7310"/>
    <tableColumn name="Column7292" id="7311"/>
    <tableColumn name="Column7293" id="7312"/>
    <tableColumn name="Column7294" id="7313"/>
    <tableColumn name="Column7295" id="7314"/>
    <tableColumn name="Column7296" id="7315"/>
    <tableColumn name="Column7297" id="7316"/>
    <tableColumn name="Column7298" id="7317"/>
    <tableColumn name="Column7299" id="7318"/>
    <tableColumn name="Column7300" id="7319"/>
    <tableColumn name="Column7301" id="7320"/>
    <tableColumn name="Column7302" id="7321"/>
    <tableColumn name="Column7303" id="7322"/>
    <tableColumn name="Column7304" id="7323"/>
    <tableColumn name="Column7305" id="7324"/>
    <tableColumn name="Column7306" id="7325"/>
    <tableColumn name="Column7307" id="7326"/>
    <tableColumn name="Column7308" id="7327"/>
    <tableColumn name="Column7309" id="7328"/>
    <tableColumn name="Column7310" id="7329"/>
    <tableColumn name="Column7311" id="7330"/>
    <tableColumn name="Column7312" id="7331"/>
    <tableColumn name="Column7313" id="7332"/>
    <tableColumn name="Column7314" id="7333"/>
    <tableColumn name="Column7315" id="7334"/>
    <tableColumn name="Column7316" id="7335"/>
    <tableColumn name="Column7317" id="7336"/>
    <tableColumn name="Column7318" id="7337"/>
    <tableColumn name="Column7319" id="7338"/>
    <tableColumn name="Column7320" id="7339"/>
    <tableColumn name="Column7321" id="7340"/>
    <tableColumn name="Column7322" id="7341"/>
    <tableColumn name="Column7323" id="7342"/>
    <tableColumn name="Column7324" id="7343"/>
    <tableColumn name="Column7325" id="7344"/>
    <tableColumn name="Column7326" id="7345"/>
    <tableColumn name="Column7327" id="7346"/>
    <tableColumn name="Column7328" id="7347"/>
    <tableColumn name="Column7329" id="7348"/>
    <tableColumn name="Column7330" id="7349"/>
    <tableColumn name="Column7331" id="7350"/>
    <tableColumn name="Column7332" id="7351"/>
    <tableColumn name="Column7333" id="7352"/>
    <tableColumn name="Column7334" id="7353"/>
    <tableColumn name="Column7335" id="7354"/>
    <tableColumn name="Column7336" id="7355"/>
    <tableColumn name="Column7337" id="7356"/>
    <tableColumn name="Column7338" id="7357"/>
    <tableColumn name="Column7339" id="7358"/>
    <tableColumn name="Column7340" id="7359"/>
    <tableColumn name="Column7341" id="7360"/>
    <tableColumn name="Column7342" id="7361"/>
    <tableColumn name="Column7343" id="7362"/>
    <tableColumn name="Column7344" id="7363"/>
    <tableColumn name="Column7345" id="7364"/>
    <tableColumn name="Column7346" id="7365"/>
    <tableColumn name="Column7347" id="7366"/>
    <tableColumn name="Column7348" id="7367"/>
    <tableColumn name="Column7349" id="7368"/>
    <tableColumn name="Column7350" id="7369"/>
    <tableColumn name="Column7351" id="7370"/>
    <tableColumn name="Column7352" id="7371"/>
    <tableColumn name="Column7353" id="7372"/>
    <tableColumn name="Column7354" id="7373"/>
    <tableColumn name="Column7355" id="7374"/>
    <tableColumn name="Column7356" id="7375"/>
    <tableColumn name="Column7357" id="7376"/>
    <tableColumn name="Column7358" id="7377"/>
    <tableColumn name="Column7359" id="7378"/>
    <tableColumn name="Column7360" id="7379"/>
    <tableColumn name="Column7361" id="7380"/>
    <tableColumn name="Column7362" id="7381"/>
    <tableColumn name="Column7363" id="7382"/>
    <tableColumn name="Column7364" id="7383"/>
    <tableColumn name="Column7365" id="7384"/>
    <tableColumn name="Column7366" id="7385"/>
    <tableColumn name="Column7367" id="7386"/>
    <tableColumn name="Column7368" id="7387"/>
    <tableColumn name="Column7369" id="7388"/>
    <tableColumn name="Column7370" id="7389"/>
    <tableColumn name="Column7371" id="7390"/>
    <tableColumn name="Column7372" id="7391"/>
    <tableColumn name="Column7373" id="7392"/>
    <tableColumn name="Column7374" id="7393"/>
    <tableColumn name="Column7375" id="7394"/>
    <tableColumn name="Column7376" id="7395"/>
    <tableColumn name="Column7377" id="7396"/>
    <tableColumn name="Column7378" id="7397"/>
    <tableColumn name="Column7379" id="7398"/>
    <tableColumn name="Column7380" id="7399"/>
    <tableColumn name="Column7381" id="7400"/>
    <tableColumn name="Column7382" id="7401"/>
    <tableColumn name="Column7383" id="7402"/>
    <tableColumn name="Column7384" id="7403"/>
    <tableColumn name="Column7385" id="7404"/>
    <tableColumn name="Column7386" id="7405"/>
    <tableColumn name="Column7387" id="7406"/>
    <tableColumn name="Column7388" id="7407"/>
    <tableColumn name="Column7389" id="7408"/>
    <tableColumn name="Column7390" id="7409"/>
    <tableColumn name="Column7391" id="7410"/>
    <tableColumn name="Column7392" id="7411"/>
    <tableColumn name="Column7393" id="7412"/>
    <tableColumn name="Column7394" id="7413"/>
    <tableColumn name="Column7395" id="7414"/>
    <tableColumn name="Column7396" id="7415"/>
    <tableColumn name="Column7397" id="7416"/>
    <tableColumn name="Column7398" id="7417"/>
    <tableColumn name="Column7399" id="7418"/>
    <tableColumn name="Column7400" id="7419"/>
    <tableColumn name="Column7401" id="7420"/>
    <tableColumn name="Column7402" id="7421"/>
    <tableColumn name="Column7403" id="7422"/>
    <tableColumn name="Column7404" id="7423"/>
    <tableColumn name="Column7405" id="7424"/>
    <tableColumn name="Column7406" id="7425"/>
    <tableColumn name="Column7407" id="7426"/>
    <tableColumn name="Column7408" id="7427"/>
    <tableColumn name="Column7409" id="7428"/>
    <tableColumn name="Column7410" id="7429"/>
    <tableColumn name="Column7411" id="7430"/>
    <tableColumn name="Column7412" id="7431"/>
    <tableColumn name="Column7413" id="7432"/>
    <tableColumn name="Column7414" id="7433"/>
    <tableColumn name="Column7415" id="7434"/>
    <tableColumn name="Column7416" id="7435"/>
    <tableColumn name="Column7417" id="7436"/>
    <tableColumn name="Column7418" id="7437"/>
    <tableColumn name="Column7419" id="7438"/>
    <tableColumn name="Column7420" id="7439"/>
    <tableColumn name="Column7421" id="7440"/>
    <tableColumn name="Column7422" id="7441"/>
    <tableColumn name="Column7423" id="7442"/>
    <tableColumn name="Column7424" id="7443"/>
    <tableColumn name="Column7425" id="7444"/>
    <tableColumn name="Column7426" id="7445"/>
    <tableColumn name="Column7427" id="7446"/>
    <tableColumn name="Column7428" id="7447"/>
    <tableColumn name="Column7429" id="7448"/>
    <tableColumn name="Column7430" id="7449"/>
    <tableColumn name="Column7431" id="7450"/>
    <tableColumn name="Column7432" id="7451"/>
    <tableColumn name="Column7433" id="7452"/>
    <tableColumn name="Column7434" id="7453"/>
    <tableColumn name="Column7435" id="7454"/>
    <tableColumn name="Column7436" id="7455"/>
    <tableColumn name="Column7437" id="7456"/>
    <tableColumn name="Column7438" id="7457"/>
    <tableColumn name="Column7439" id="7458"/>
    <tableColumn name="Column7440" id="7459"/>
    <tableColumn name="Column7441" id="7460"/>
    <tableColumn name="Column7442" id="7461"/>
    <tableColumn name="Column7443" id="7462"/>
    <tableColumn name="Column7444" id="7463"/>
    <tableColumn name="Column7445" id="7464"/>
    <tableColumn name="Column7446" id="7465"/>
    <tableColumn name="Column7447" id="7466"/>
    <tableColumn name="Column7448" id="7467"/>
    <tableColumn name="Column7449" id="7468"/>
    <tableColumn name="Column7450" id="7469"/>
    <tableColumn name="Column7451" id="7470"/>
    <tableColumn name="Column7452" id="7471"/>
    <tableColumn name="Column7453" id="7472"/>
    <tableColumn name="Column7454" id="7473"/>
    <tableColumn name="Column7455" id="7474"/>
    <tableColumn name="Column7456" id="7475"/>
    <tableColumn name="Column7457" id="7476"/>
    <tableColumn name="Column7458" id="7477"/>
    <tableColumn name="Column7459" id="7478"/>
    <tableColumn name="Column7460" id="7479"/>
    <tableColumn name="Column7461" id="7480"/>
    <tableColumn name="Column7462" id="7481"/>
    <tableColumn name="Column7463" id="7482"/>
    <tableColumn name="Column7464" id="7483"/>
    <tableColumn name="Column7465" id="7484"/>
    <tableColumn name="Column7466" id="7485"/>
    <tableColumn name="Column7467" id="7486"/>
    <tableColumn name="Column7468" id="7487"/>
    <tableColumn name="Column7469" id="7488"/>
    <tableColumn name="Column7470" id="7489"/>
    <tableColumn name="Column7471" id="7490"/>
    <tableColumn name="Column7472" id="7491"/>
    <tableColumn name="Column7473" id="7492"/>
    <tableColumn name="Column7474" id="7493"/>
    <tableColumn name="Column7475" id="7494"/>
    <tableColumn name="Column7476" id="7495"/>
    <tableColumn name="Column7477" id="7496"/>
    <tableColumn name="Column7478" id="7497"/>
    <tableColumn name="Column7479" id="7498"/>
    <tableColumn name="Column7480" id="7499"/>
    <tableColumn name="Column7481" id="7500"/>
    <tableColumn name="Column7482" id="7501"/>
    <tableColumn name="Column7483" id="7502"/>
    <tableColumn name="Column7484" id="7503"/>
    <tableColumn name="Column7485" id="7504"/>
    <tableColumn name="Column7486" id="7505"/>
    <tableColumn name="Column7487" id="7506"/>
    <tableColumn name="Column7488" id="7507"/>
    <tableColumn name="Column7489" id="7508"/>
    <tableColumn name="Column7490" id="7509"/>
    <tableColumn name="Column7491" id="7510"/>
    <tableColumn name="Column7492" id="7511"/>
    <tableColumn name="Column7493" id="7512"/>
    <tableColumn name="Column7494" id="7513"/>
    <tableColumn name="Column7495" id="7514"/>
    <tableColumn name="Column7496" id="7515"/>
    <tableColumn name="Column7497" id="7516"/>
    <tableColumn name="Column7498" id="7517"/>
    <tableColumn name="Column7499" id="7518"/>
    <tableColumn name="Column7500" id="7519"/>
    <tableColumn name="Column7501" id="7520"/>
    <tableColumn name="Column7502" id="7521"/>
    <tableColumn name="Column7503" id="7522"/>
    <tableColumn name="Column7504" id="7523"/>
    <tableColumn name="Column7505" id="7524"/>
    <tableColumn name="Column7506" id="7525"/>
    <tableColumn name="Column7507" id="7526"/>
    <tableColumn name="Column7508" id="7527"/>
    <tableColumn name="Column7509" id="7528"/>
    <tableColumn name="Column7510" id="7529"/>
    <tableColumn name="Column7511" id="7530"/>
    <tableColumn name="Column7512" id="7531"/>
    <tableColumn name="Column7513" id="7532"/>
    <tableColumn name="Column7514" id="7533"/>
    <tableColumn name="Column7515" id="7534"/>
    <tableColumn name="Column7516" id="7535"/>
    <tableColumn name="Column7517" id="7536"/>
    <tableColumn name="Column7518" id="7537"/>
    <tableColumn name="Column7519" id="7538"/>
    <tableColumn name="Column7520" id="7539"/>
    <tableColumn name="Column7521" id="7540"/>
    <tableColumn name="Column7522" id="7541"/>
    <tableColumn name="Column7523" id="7542"/>
    <tableColumn name="Column7524" id="7543"/>
    <tableColumn name="Column7525" id="7544"/>
    <tableColumn name="Column7526" id="7545"/>
    <tableColumn name="Column7527" id="7546"/>
    <tableColumn name="Column7528" id="7547"/>
    <tableColumn name="Column7529" id="7548"/>
    <tableColumn name="Column7530" id="7549"/>
    <tableColumn name="Column7531" id="7550"/>
    <tableColumn name="Column7532" id="7551"/>
    <tableColumn name="Column7533" id="7552"/>
    <tableColumn name="Column7534" id="7553"/>
    <tableColumn name="Column7535" id="7554"/>
    <tableColumn name="Column7536" id="7555"/>
    <tableColumn name="Column7537" id="7556"/>
    <tableColumn name="Column7538" id="7557"/>
    <tableColumn name="Column7539" id="7558"/>
    <tableColumn name="Column7540" id="7559"/>
    <tableColumn name="Column7541" id="7560"/>
    <tableColumn name="Column7542" id="7561"/>
    <tableColumn name="Column7543" id="7562"/>
    <tableColumn name="Column7544" id="7563"/>
    <tableColumn name="Column7545" id="7564"/>
    <tableColumn name="Column7546" id="7565"/>
    <tableColumn name="Column7547" id="7566"/>
    <tableColumn name="Column7548" id="7567"/>
    <tableColumn name="Column7549" id="7568"/>
    <tableColumn name="Column7550" id="7569"/>
    <tableColumn name="Column7551" id="7570"/>
    <tableColumn name="Column7552" id="7571"/>
    <tableColumn name="Column7553" id="7572"/>
    <tableColumn name="Column7554" id="7573"/>
    <tableColumn name="Column7555" id="7574"/>
    <tableColumn name="Column7556" id="7575"/>
    <tableColumn name="Column7557" id="7576"/>
    <tableColumn name="Column7558" id="7577"/>
    <tableColumn name="Column7559" id="7578"/>
    <tableColumn name="Column7560" id="7579"/>
    <tableColumn name="Column7561" id="7580"/>
    <tableColumn name="Column7562" id="7581"/>
    <tableColumn name="Column7563" id="7582"/>
    <tableColumn name="Column7564" id="7583"/>
    <tableColumn name="Column7565" id="7584"/>
    <tableColumn name="Column7566" id="7585"/>
    <tableColumn name="Column7567" id="7586"/>
    <tableColumn name="Column7568" id="7587"/>
    <tableColumn name="Column7569" id="7588"/>
    <tableColumn name="Column7570" id="7589"/>
    <tableColumn name="Column7571" id="7590"/>
    <tableColumn name="Column7572" id="7591"/>
    <tableColumn name="Column7573" id="7592"/>
    <tableColumn name="Column7574" id="7593"/>
    <tableColumn name="Column7575" id="7594"/>
    <tableColumn name="Column7576" id="7595"/>
    <tableColumn name="Column7577" id="7596"/>
    <tableColumn name="Column7578" id="7597"/>
    <tableColumn name="Column7579" id="7598"/>
    <tableColumn name="Column7580" id="7599"/>
    <tableColumn name="Column7581" id="7600"/>
    <tableColumn name="Column7582" id="7601"/>
    <tableColumn name="Column7583" id="7602"/>
    <tableColumn name="Column7584" id="7603"/>
    <tableColumn name="Column7585" id="7604"/>
    <tableColumn name="Column7586" id="7605"/>
    <tableColumn name="Column7587" id="7606"/>
    <tableColumn name="Column7588" id="7607"/>
    <tableColumn name="Column7589" id="7608"/>
    <tableColumn name="Column7590" id="7609"/>
    <tableColumn name="Column7591" id="7610"/>
    <tableColumn name="Column7592" id="7611"/>
    <tableColumn name="Column7593" id="7612"/>
    <tableColumn name="Column7594" id="7613"/>
    <tableColumn name="Column7595" id="7614"/>
    <tableColumn name="Column7596" id="7615"/>
    <tableColumn name="Column7597" id="7616"/>
    <tableColumn name="Column7598" id="7617"/>
    <tableColumn name="Column7599" id="7618"/>
    <tableColumn name="Column7600" id="7619"/>
    <tableColumn name="Column7601" id="7620"/>
    <tableColumn name="Column7602" id="7621"/>
    <tableColumn name="Column7603" id="7622"/>
    <tableColumn name="Column7604" id="7623"/>
    <tableColumn name="Column7605" id="7624"/>
    <tableColumn name="Column7606" id="7625"/>
    <tableColumn name="Column7607" id="7626"/>
    <tableColumn name="Column7608" id="7627"/>
    <tableColumn name="Column7609" id="7628"/>
    <tableColumn name="Column7610" id="7629"/>
    <tableColumn name="Column7611" id="7630"/>
    <tableColumn name="Column7612" id="7631"/>
    <tableColumn name="Column7613" id="7632"/>
    <tableColumn name="Column7614" id="7633"/>
    <tableColumn name="Column7615" id="7634"/>
    <tableColumn name="Column7616" id="7635"/>
    <tableColumn name="Column7617" id="7636"/>
    <tableColumn name="Column7618" id="7637"/>
    <tableColumn name="Column7619" id="7638"/>
    <tableColumn name="Column7620" id="7639"/>
    <tableColumn name="Column7621" id="7640"/>
    <tableColumn name="Column7622" id="7641"/>
    <tableColumn name="Column7623" id="7642"/>
    <tableColumn name="Column7624" id="7643"/>
    <tableColumn name="Column7625" id="7644"/>
    <tableColumn name="Column7626" id="7645"/>
    <tableColumn name="Column7627" id="7646"/>
    <tableColumn name="Column7628" id="7647"/>
    <tableColumn name="Column7629" id="7648"/>
    <tableColumn name="Column7630" id="7649"/>
    <tableColumn name="Column7631" id="7650"/>
    <tableColumn name="Column7632" id="7651"/>
    <tableColumn name="Column7633" id="7652"/>
    <tableColumn name="Column7634" id="7653"/>
    <tableColumn name="Column7635" id="7654"/>
    <tableColumn name="Column7636" id="7655"/>
    <tableColumn name="Column7637" id="7656"/>
    <tableColumn name="Column7638" id="7657"/>
    <tableColumn name="Column7639" id="7658"/>
    <tableColumn name="Column7640" id="7659"/>
    <tableColumn name="Column7641" id="7660"/>
    <tableColumn name="Column7642" id="7661"/>
    <tableColumn name="Column7643" id="7662"/>
    <tableColumn name="Column7644" id="7663"/>
    <tableColumn name="Column7645" id="7664"/>
    <tableColumn name="Column7646" id="7665"/>
    <tableColumn name="Column7647" id="7666"/>
    <tableColumn name="Column7648" id="7667"/>
    <tableColumn name="Column7649" id="7668"/>
    <tableColumn name="Column7650" id="7669"/>
    <tableColumn name="Column7651" id="7670"/>
    <tableColumn name="Column7652" id="7671"/>
    <tableColumn name="Column7653" id="7672"/>
    <tableColumn name="Column7654" id="7673"/>
    <tableColumn name="Column7655" id="7674"/>
    <tableColumn name="Column7656" id="7675"/>
    <tableColumn name="Column7657" id="7676"/>
    <tableColumn name="Column7658" id="7677"/>
    <tableColumn name="Column7659" id="7678"/>
    <tableColumn name="Column7660" id="7679"/>
    <tableColumn name="Column7661" id="7680"/>
    <tableColumn name="Column7662" id="7681"/>
    <tableColumn name="Column7663" id="7682"/>
    <tableColumn name="Column7664" id="7683"/>
    <tableColumn name="Column7665" id="7684"/>
    <tableColumn name="Column7666" id="7685"/>
    <tableColumn name="Column7667" id="7686"/>
    <tableColumn name="Column7668" id="7687"/>
    <tableColumn name="Column7669" id="7688"/>
    <tableColumn name="Column7670" id="7689"/>
    <tableColumn name="Column7671" id="7690"/>
    <tableColumn name="Column7672" id="7691"/>
    <tableColumn name="Column7673" id="7692"/>
    <tableColumn name="Column7674" id="7693"/>
    <tableColumn name="Column7675" id="7694"/>
    <tableColumn name="Column7676" id="7695"/>
    <tableColumn name="Column7677" id="7696"/>
    <tableColumn name="Column7678" id="7697"/>
    <tableColumn name="Column7679" id="7698"/>
    <tableColumn name="Column7680" id="7699"/>
    <tableColumn name="Column7681" id="7700"/>
    <tableColumn name="Column7682" id="7701"/>
    <tableColumn name="Column7683" id="7702"/>
    <tableColumn name="Column7684" id="7703"/>
    <tableColumn name="Column7685" id="7704"/>
    <tableColumn name="Column7686" id="7705"/>
    <tableColumn name="Column7687" id="7706"/>
    <tableColumn name="Column7688" id="7707"/>
    <tableColumn name="Column7689" id="7708"/>
    <tableColumn name="Column7690" id="7709"/>
    <tableColumn name="Column7691" id="7710"/>
    <tableColumn name="Column7692" id="7711"/>
    <tableColumn name="Column7693" id="7712"/>
    <tableColumn name="Column7694" id="7713"/>
    <tableColumn name="Column7695" id="7714"/>
    <tableColumn name="Column7696" id="7715"/>
    <tableColumn name="Column7697" id="7716"/>
    <tableColumn name="Column7698" id="7717"/>
    <tableColumn name="Column7699" id="7718"/>
    <tableColumn name="Column7700" id="7719"/>
    <tableColumn name="Column7701" id="7720"/>
    <tableColumn name="Column7702" id="7721"/>
    <tableColumn name="Column7703" id="7722"/>
    <tableColumn name="Column7704" id="7723"/>
    <tableColumn name="Column7705" id="7724"/>
    <tableColumn name="Column7706" id="7725"/>
    <tableColumn name="Column7707" id="7726"/>
    <tableColumn name="Column7708" id="7727"/>
    <tableColumn name="Column7709" id="7728"/>
    <tableColumn name="Column7710" id="7729"/>
    <tableColumn name="Column7711" id="7730"/>
    <tableColumn name="Column7712" id="7731"/>
    <tableColumn name="Column7713" id="7732"/>
    <tableColumn name="Column7714" id="7733"/>
    <tableColumn name="Column7715" id="7734"/>
    <tableColumn name="Column7716" id="7735"/>
    <tableColumn name="Column7717" id="7736"/>
    <tableColumn name="Column7718" id="7737"/>
    <tableColumn name="Column7719" id="7738"/>
    <tableColumn name="Column7720" id="7739"/>
    <tableColumn name="Column7721" id="7740"/>
    <tableColumn name="Column7722" id="7741"/>
    <tableColumn name="Column7723" id="7742"/>
    <tableColumn name="Column7724" id="7743"/>
    <tableColumn name="Column7725" id="7744"/>
    <tableColumn name="Column7726" id="7745"/>
    <tableColumn name="Column7727" id="7746"/>
    <tableColumn name="Column7728" id="7747"/>
    <tableColumn name="Column7729" id="7748"/>
    <tableColumn name="Column7730" id="7749"/>
    <tableColumn name="Column7731" id="7750"/>
    <tableColumn name="Column7732" id="7751"/>
    <tableColumn name="Column7733" id="7752"/>
    <tableColumn name="Column7734" id="7753"/>
    <tableColumn name="Column7735" id="7754"/>
    <tableColumn name="Column7736" id="7755"/>
    <tableColumn name="Column7737" id="7756"/>
    <tableColumn name="Column7738" id="7757"/>
    <tableColumn name="Column7739" id="7758"/>
    <tableColumn name="Column7740" id="7759"/>
    <tableColumn name="Column7741" id="7760"/>
    <tableColumn name="Column7742" id="7761"/>
    <tableColumn name="Column7743" id="7762"/>
    <tableColumn name="Column7744" id="7763"/>
    <tableColumn name="Column7745" id="7764"/>
    <tableColumn name="Column7746" id="7765"/>
    <tableColumn name="Column7747" id="7766"/>
    <tableColumn name="Column7748" id="7767"/>
    <tableColumn name="Column7749" id="7768"/>
    <tableColumn name="Column7750" id="7769"/>
    <tableColumn name="Column7751" id="7770"/>
    <tableColumn name="Column7752" id="7771"/>
    <tableColumn name="Column7753" id="7772"/>
    <tableColumn name="Column7754" id="7773"/>
    <tableColumn name="Column7755" id="7774"/>
    <tableColumn name="Column7756" id="7775"/>
    <tableColumn name="Column7757" id="7776"/>
    <tableColumn name="Column7758" id="7777"/>
    <tableColumn name="Column7759" id="7778"/>
    <tableColumn name="Column7760" id="7779"/>
    <tableColumn name="Column7761" id="7780"/>
    <tableColumn name="Column7762" id="7781"/>
    <tableColumn name="Column7763" id="7782"/>
    <tableColumn name="Column7764" id="7783"/>
    <tableColumn name="Column7765" id="7784"/>
    <tableColumn name="Column7766" id="7785"/>
    <tableColumn name="Column7767" id="7786"/>
    <tableColumn name="Column7768" id="7787"/>
    <tableColumn name="Column7769" id="7788"/>
    <tableColumn name="Column7770" id="7789"/>
    <tableColumn name="Column7771" id="7790"/>
    <tableColumn name="Column7772" id="7791"/>
    <tableColumn name="Column7773" id="7792"/>
    <tableColumn name="Column7774" id="7793"/>
    <tableColumn name="Column7775" id="7794"/>
    <tableColumn name="Column7776" id="7795"/>
    <tableColumn name="Column7777" id="7796"/>
    <tableColumn name="Column7778" id="7797"/>
    <tableColumn name="Column7779" id="7798"/>
    <tableColumn name="Column7780" id="7799"/>
    <tableColumn name="Column7781" id="7800"/>
    <tableColumn name="Column7782" id="7801"/>
    <tableColumn name="Column7783" id="7802"/>
    <tableColumn name="Column7784" id="7803"/>
    <tableColumn name="Column7785" id="7804"/>
    <tableColumn name="Column7786" id="7805"/>
    <tableColumn name="Column7787" id="7806"/>
    <tableColumn name="Column7788" id="7807"/>
    <tableColumn name="Column7789" id="7808"/>
    <tableColumn name="Column7790" id="7809"/>
    <tableColumn name="Column7791" id="7810"/>
    <tableColumn name="Column7792" id="7811"/>
    <tableColumn name="Column7793" id="7812"/>
    <tableColumn name="Column7794" id="7813"/>
    <tableColumn name="Column7795" id="7814"/>
    <tableColumn name="Column7796" id="7815"/>
    <tableColumn name="Column7797" id="7816"/>
    <tableColumn name="Column7798" id="7817"/>
    <tableColumn name="Column7799" id="7818"/>
    <tableColumn name="Column7800" id="7819"/>
    <tableColumn name="Column7801" id="7820"/>
    <tableColumn name="Column7802" id="7821"/>
    <tableColumn name="Column7803" id="7822"/>
    <tableColumn name="Column7804" id="7823"/>
    <tableColumn name="Column7805" id="7824"/>
    <tableColumn name="Column7806" id="7825"/>
    <tableColumn name="Column7807" id="7826"/>
    <tableColumn name="Column7808" id="7827"/>
    <tableColumn name="Column7809" id="7828"/>
    <tableColumn name="Column7810" id="7829"/>
    <tableColumn name="Column7811" id="7830"/>
    <tableColumn name="Column7812" id="7831"/>
    <tableColumn name="Column7813" id="7832"/>
    <tableColumn name="Column7814" id="7833"/>
    <tableColumn name="Column7815" id="7834"/>
    <tableColumn name="Column7816" id="7835"/>
    <tableColumn name="Column7817" id="7836"/>
    <tableColumn name="Column7818" id="7837"/>
    <tableColumn name="Column7819" id="7838"/>
    <tableColumn name="Column7820" id="7839"/>
    <tableColumn name="Column7821" id="7840"/>
    <tableColumn name="Column7822" id="7841"/>
    <tableColumn name="Column7823" id="7842"/>
    <tableColumn name="Column7824" id="7843"/>
    <tableColumn name="Column7825" id="7844"/>
    <tableColumn name="Column7826" id="7845"/>
    <tableColumn name="Column7827" id="7846"/>
    <tableColumn name="Column7828" id="7847"/>
    <tableColumn name="Column7829" id="7848"/>
    <tableColumn name="Column7830" id="7849"/>
    <tableColumn name="Column7831" id="7850"/>
    <tableColumn name="Column7832" id="7851"/>
    <tableColumn name="Column7833" id="7852"/>
    <tableColumn name="Column7834" id="7853"/>
    <tableColumn name="Column7835" id="7854"/>
    <tableColumn name="Column7836" id="7855"/>
    <tableColumn name="Column7837" id="7856"/>
    <tableColumn name="Column7838" id="7857"/>
    <tableColumn name="Column7839" id="7858"/>
    <tableColumn name="Column7840" id="7859"/>
    <tableColumn name="Column7841" id="7860"/>
    <tableColumn name="Column7842" id="7861"/>
    <tableColumn name="Column7843" id="7862"/>
    <tableColumn name="Column7844" id="7863"/>
    <tableColumn name="Column7845" id="7864"/>
    <tableColumn name="Column7846" id="7865"/>
    <tableColumn name="Column7847" id="7866"/>
    <tableColumn name="Column7848" id="7867"/>
    <tableColumn name="Column7849" id="7868"/>
    <tableColumn name="Column7850" id="7869"/>
    <tableColumn name="Column7851" id="7870"/>
    <tableColumn name="Column7852" id="7871"/>
    <tableColumn name="Column7853" id="7872"/>
    <tableColumn name="Column7854" id="7873"/>
    <tableColumn name="Column7855" id="7874"/>
    <tableColumn name="Column7856" id="7875"/>
    <tableColumn name="Column7857" id="7876"/>
    <tableColumn name="Column7858" id="7877"/>
    <tableColumn name="Column7859" id="7878"/>
    <tableColumn name="Column7860" id="7879"/>
    <tableColumn name="Column7861" id="7880"/>
    <tableColumn name="Column7862" id="7881"/>
    <tableColumn name="Column7863" id="7882"/>
    <tableColumn name="Column7864" id="7883"/>
    <tableColumn name="Column7865" id="7884"/>
    <tableColumn name="Column7866" id="7885"/>
    <tableColumn name="Column7867" id="7886"/>
    <tableColumn name="Column7868" id="7887"/>
    <tableColumn name="Column7869" id="7888"/>
    <tableColumn name="Column7870" id="7889"/>
    <tableColumn name="Column7871" id="7890"/>
    <tableColumn name="Column7872" id="7891"/>
    <tableColumn name="Column7873" id="7892"/>
    <tableColumn name="Column7874" id="7893"/>
    <tableColumn name="Column7875" id="7894"/>
    <tableColumn name="Column7876" id="7895"/>
    <tableColumn name="Column7877" id="7896"/>
    <tableColumn name="Column7878" id="7897"/>
    <tableColumn name="Column7879" id="7898"/>
    <tableColumn name="Column7880" id="7899"/>
    <tableColumn name="Column7881" id="7900"/>
    <tableColumn name="Column7882" id="7901"/>
    <tableColumn name="Column7883" id="7902"/>
    <tableColumn name="Column7884" id="7903"/>
    <tableColumn name="Column7885" id="7904"/>
    <tableColumn name="Column7886" id="7905"/>
    <tableColumn name="Column7887" id="7906"/>
    <tableColumn name="Column7888" id="7907"/>
    <tableColumn name="Column7889" id="7908"/>
    <tableColumn name="Column7890" id="7909"/>
    <tableColumn name="Column7891" id="7910"/>
    <tableColumn name="Column7892" id="7911"/>
    <tableColumn name="Column7893" id="7912"/>
    <tableColumn name="Column7894" id="7913"/>
    <tableColumn name="Column7895" id="7914"/>
    <tableColumn name="Column7896" id="7915"/>
    <tableColumn name="Column7897" id="7916"/>
    <tableColumn name="Column7898" id="7917"/>
    <tableColumn name="Column7899" id="7918"/>
    <tableColumn name="Column7900" id="7919"/>
    <tableColumn name="Column7901" id="7920"/>
    <tableColumn name="Column7902" id="7921"/>
    <tableColumn name="Column7903" id="7922"/>
    <tableColumn name="Column7904" id="7923"/>
    <tableColumn name="Column7905" id="7924"/>
    <tableColumn name="Column7906" id="7925"/>
    <tableColumn name="Column7907" id="7926"/>
    <tableColumn name="Column7908" id="7927"/>
    <tableColumn name="Column7909" id="7928"/>
    <tableColumn name="Column7910" id="7929"/>
    <tableColumn name="Column7911" id="7930"/>
    <tableColumn name="Column7912" id="7931"/>
    <tableColumn name="Column7913" id="7932"/>
    <tableColumn name="Column7914" id="7933"/>
    <tableColumn name="Column7915" id="7934"/>
    <tableColumn name="Column7916" id="7935"/>
    <tableColumn name="Column7917" id="7936"/>
    <tableColumn name="Column7918" id="7937"/>
    <tableColumn name="Column7919" id="7938"/>
    <tableColumn name="Column7920" id="7939"/>
    <tableColumn name="Column7921" id="7940"/>
    <tableColumn name="Column7922" id="7941"/>
    <tableColumn name="Column7923" id="7942"/>
    <tableColumn name="Column7924" id="7943"/>
    <tableColumn name="Column7925" id="7944"/>
    <tableColumn name="Column7926" id="7945"/>
    <tableColumn name="Column7927" id="7946"/>
    <tableColumn name="Column7928" id="7947"/>
    <tableColumn name="Column7929" id="7948"/>
    <tableColumn name="Column7930" id="7949"/>
    <tableColumn name="Column7931" id="7950"/>
    <tableColumn name="Column7932" id="7951"/>
    <tableColumn name="Column7933" id="7952"/>
    <tableColumn name="Column7934" id="7953"/>
    <tableColumn name="Column7935" id="7954"/>
    <tableColumn name="Column7936" id="7955"/>
    <tableColumn name="Column7937" id="7956"/>
    <tableColumn name="Column7938" id="7957"/>
    <tableColumn name="Column7939" id="7958"/>
    <tableColumn name="Column7940" id="7959"/>
    <tableColumn name="Column7941" id="7960"/>
    <tableColumn name="Column7942" id="7961"/>
    <tableColumn name="Column7943" id="7962"/>
    <tableColumn name="Column7944" id="7963"/>
    <tableColumn name="Column7945" id="7964"/>
    <tableColumn name="Column7946" id="7965"/>
    <tableColumn name="Column7947" id="7966"/>
    <tableColumn name="Column7948" id="7967"/>
    <tableColumn name="Column7949" id="7968"/>
    <tableColumn name="Column7950" id="7969"/>
    <tableColumn name="Column7951" id="7970"/>
    <tableColumn name="Column7952" id="7971"/>
    <tableColumn name="Column7953" id="7972"/>
    <tableColumn name="Column7954" id="7973"/>
    <tableColumn name="Column7955" id="7974"/>
    <tableColumn name="Column7956" id="7975"/>
    <tableColumn name="Column7957" id="7976"/>
    <tableColumn name="Column7958" id="7977"/>
    <tableColumn name="Column7959" id="7978"/>
    <tableColumn name="Column7960" id="7979"/>
    <tableColumn name="Column7961" id="7980"/>
    <tableColumn name="Column7962" id="7981"/>
    <tableColumn name="Column7963" id="7982"/>
    <tableColumn name="Column7964" id="7983"/>
    <tableColumn name="Column7965" id="7984"/>
    <tableColumn name="Column7966" id="7985"/>
    <tableColumn name="Column7967" id="7986"/>
    <tableColumn name="Column7968" id="7987"/>
    <tableColumn name="Column7969" id="7988"/>
    <tableColumn name="Column7970" id="7989"/>
    <tableColumn name="Column7971" id="7990"/>
    <tableColumn name="Column7972" id="7991"/>
    <tableColumn name="Column7973" id="7992"/>
    <tableColumn name="Column7974" id="7993"/>
    <tableColumn name="Column7975" id="7994"/>
    <tableColumn name="Column7976" id="7995"/>
    <tableColumn name="Column7977" id="7996"/>
    <tableColumn name="Column7978" id="7997"/>
    <tableColumn name="Column7979" id="7998"/>
    <tableColumn name="Column7980" id="7999"/>
    <tableColumn name="Column7981" id="8000"/>
    <tableColumn name="Column7982" id="8001"/>
    <tableColumn name="Column7983" id="8002"/>
    <tableColumn name="Column7984" id="8003"/>
    <tableColumn name="Column7985" id="8004"/>
    <tableColumn name="Column7986" id="8005"/>
    <tableColumn name="Column7987" id="8006"/>
    <tableColumn name="Column7988" id="8007"/>
    <tableColumn name="Column7989" id="8008"/>
    <tableColumn name="Column7990" id="8009"/>
    <tableColumn name="Column7991" id="8010"/>
    <tableColumn name="Column7992" id="8011"/>
    <tableColumn name="Column7993" id="8012"/>
    <tableColumn name="Column7994" id="8013"/>
    <tableColumn name="Column7995" id="8014"/>
    <tableColumn name="Column7996" id="8015"/>
    <tableColumn name="Column7997" id="8016"/>
    <tableColumn name="Column7998" id="8017"/>
    <tableColumn name="Column7999" id="8018"/>
    <tableColumn name="Column8000" id="8019"/>
    <tableColumn name="Column8001" id="8020"/>
    <tableColumn name="Column8002" id="8021"/>
    <tableColumn name="Column8003" id="8022"/>
    <tableColumn name="Column8004" id="8023"/>
    <tableColumn name="Column8005" id="8024"/>
    <tableColumn name="Column8006" id="8025"/>
    <tableColumn name="Column8007" id="8026"/>
    <tableColumn name="Column8008" id="8027"/>
    <tableColumn name="Column8009" id="8028"/>
    <tableColumn name="Column8010" id="8029"/>
    <tableColumn name="Column8011" id="8030"/>
    <tableColumn name="Column8012" id="8031"/>
    <tableColumn name="Column8013" id="8032"/>
    <tableColumn name="Column8014" id="8033"/>
    <tableColumn name="Column8015" id="8034"/>
    <tableColumn name="Column8016" id="8035"/>
    <tableColumn name="Column8017" id="8036"/>
    <tableColumn name="Column8018" id="8037"/>
    <tableColumn name="Column8019" id="8038"/>
    <tableColumn name="Column8020" id="8039"/>
    <tableColumn name="Column8021" id="8040"/>
    <tableColumn name="Column8022" id="8041"/>
    <tableColumn name="Column8023" id="8042"/>
    <tableColumn name="Column8024" id="8043"/>
    <tableColumn name="Column8025" id="8044"/>
    <tableColumn name="Column8026" id="8045"/>
    <tableColumn name="Column8027" id="8046"/>
    <tableColumn name="Column8028" id="8047"/>
    <tableColumn name="Column8029" id="8048"/>
    <tableColumn name="Column8030" id="8049"/>
    <tableColumn name="Column8031" id="8050"/>
    <tableColumn name="Column8032" id="8051"/>
    <tableColumn name="Column8033" id="8052"/>
    <tableColumn name="Column8034" id="8053"/>
    <tableColumn name="Column8035" id="8054"/>
    <tableColumn name="Column8036" id="8055"/>
    <tableColumn name="Column8037" id="8056"/>
    <tableColumn name="Column8038" id="8057"/>
    <tableColumn name="Column8039" id="8058"/>
    <tableColumn name="Column8040" id="8059"/>
    <tableColumn name="Column8041" id="8060"/>
    <tableColumn name="Column8042" id="8061"/>
    <tableColumn name="Column8043" id="8062"/>
    <tableColumn name="Column8044" id="8063"/>
    <tableColumn name="Column8045" id="8064"/>
    <tableColumn name="Column8046" id="8065"/>
    <tableColumn name="Column8047" id="8066"/>
    <tableColumn name="Column8048" id="8067"/>
    <tableColumn name="Column8049" id="8068"/>
    <tableColumn name="Column8050" id="8069"/>
    <tableColumn name="Column8051" id="8070"/>
    <tableColumn name="Column8052" id="8071"/>
    <tableColumn name="Column8053" id="8072"/>
    <tableColumn name="Column8054" id="8073"/>
    <tableColumn name="Column8055" id="8074"/>
    <tableColumn name="Column8056" id="8075"/>
    <tableColumn name="Column8057" id="8076"/>
    <tableColumn name="Column8058" id="8077"/>
    <tableColumn name="Column8059" id="8078"/>
    <tableColumn name="Column8060" id="8079"/>
    <tableColumn name="Column8061" id="8080"/>
    <tableColumn name="Column8062" id="8081"/>
    <tableColumn name="Column8063" id="8082"/>
    <tableColumn name="Column8064" id="8083"/>
    <tableColumn name="Column8065" id="8084"/>
    <tableColumn name="Column8066" id="8085"/>
    <tableColumn name="Column8067" id="8086"/>
    <tableColumn name="Column8068" id="8087"/>
    <tableColumn name="Column8069" id="8088"/>
    <tableColumn name="Column8070" id="8089"/>
    <tableColumn name="Column8071" id="8090"/>
    <tableColumn name="Column8072" id="8091"/>
    <tableColumn name="Column8073" id="8092"/>
    <tableColumn name="Column8074" id="8093"/>
    <tableColumn name="Column8075" id="8094"/>
    <tableColumn name="Column8076" id="8095"/>
    <tableColumn name="Column8077" id="8096"/>
    <tableColumn name="Column8078" id="8097"/>
    <tableColumn name="Column8079" id="8098"/>
    <tableColumn name="Column8080" id="8099"/>
    <tableColumn name="Column8081" id="8100"/>
    <tableColumn name="Column8082" id="8101"/>
    <tableColumn name="Column8083" id="8102"/>
    <tableColumn name="Column8084" id="8103"/>
    <tableColumn name="Column8085" id="8104"/>
    <tableColumn name="Column8086" id="8105"/>
    <tableColumn name="Column8087" id="8106"/>
    <tableColumn name="Column8088" id="8107"/>
    <tableColumn name="Column8089" id="8108"/>
    <tableColumn name="Column8090" id="8109"/>
    <tableColumn name="Column8091" id="8110"/>
    <tableColumn name="Column8092" id="8111"/>
    <tableColumn name="Column8093" id="8112"/>
    <tableColumn name="Column8094" id="8113"/>
    <tableColumn name="Column8095" id="8114"/>
    <tableColumn name="Column8096" id="8115"/>
    <tableColumn name="Column8097" id="8116"/>
    <tableColumn name="Column8098" id="8117"/>
    <tableColumn name="Column8099" id="8118"/>
    <tableColumn name="Column8100" id="8119"/>
    <tableColumn name="Column8101" id="8120"/>
    <tableColumn name="Column8102" id="8121"/>
    <tableColumn name="Column8103" id="8122"/>
    <tableColumn name="Column8104" id="8123"/>
    <tableColumn name="Column8105" id="8124"/>
    <tableColumn name="Column8106" id="8125"/>
    <tableColumn name="Column8107" id="8126"/>
    <tableColumn name="Column8108" id="8127"/>
    <tableColumn name="Column8109" id="8128"/>
    <tableColumn name="Column8110" id="8129"/>
    <tableColumn name="Column8111" id="8130"/>
    <tableColumn name="Column8112" id="8131"/>
    <tableColumn name="Column8113" id="8132"/>
    <tableColumn name="Column8114" id="8133"/>
    <tableColumn name="Column8115" id="8134"/>
    <tableColumn name="Column8116" id="8135"/>
    <tableColumn name="Column8117" id="8136"/>
    <tableColumn name="Column8118" id="8137"/>
    <tableColumn name="Column8119" id="8138"/>
    <tableColumn name="Column8120" id="8139"/>
    <tableColumn name="Column8121" id="8140"/>
    <tableColumn name="Column8122" id="8141"/>
    <tableColumn name="Column8123" id="8142"/>
    <tableColumn name="Column8124" id="8143"/>
    <tableColumn name="Column8125" id="8144"/>
    <tableColumn name="Column8126" id="8145"/>
    <tableColumn name="Column8127" id="8146"/>
    <tableColumn name="Column8128" id="8147"/>
    <tableColumn name="Column8129" id="8148"/>
    <tableColumn name="Column8130" id="8149"/>
    <tableColumn name="Column8131" id="8150"/>
    <tableColumn name="Column8132" id="8151"/>
    <tableColumn name="Column8133" id="8152"/>
    <tableColumn name="Column8134" id="8153"/>
    <tableColumn name="Column8135" id="8154"/>
    <tableColumn name="Column8136" id="8155"/>
    <tableColumn name="Column8137" id="8156"/>
    <tableColumn name="Column8138" id="8157"/>
    <tableColumn name="Column8139" id="8158"/>
    <tableColumn name="Column8140" id="8159"/>
    <tableColumn name="Column8141" id="8160"/>
    <tableColumn name="Column8142" id="8161"/>
    <tableColumn name="Column8143" id="8162"/>
    <tableColumn name="Column8144" id="8163"/>
    <tableColumn name="Column8145" id="8164"/>
    <tableColumn name="Column8146" id="8165"/>
    <tableColumn name="Column8147" id="8166"/>
    <tableColumn name="Column8148" id="8167"/>
    <tableColumn name="Column8149" id="8168"/>
    <tableColumn name="Column8150" id="8169"/>
    <tableColumn name="Column8151" id="8170"/>
    <tableColumn name="Column8152" id="8171"/>
    <tableColumn name="Column8153" id="8172"/>
    <tableColumn name="Column8154" id="8173"/>
    <tableColumn name="Column8155" id="8174"/>
    <tableColumn name="Column8156" id="8175"/>
    <tableColumn name="Column8157" id="8176"/>
    <tableColumn name="Column8158" id="8177"/>
    <tableColumn name="Column8159" id="8178"/>
    <tableColumn name="Column8160" id="8179"/>
    <tableColumn name="Column8161" id="8180"/>
    <tableColumn name="Column8162" id="8181"/>
    <tableColumn name="Column8163" id="8182"/>
    <tableColumn name="Column8164" id="8183"/>
    <tableColumn name="Column8165" id="8184"/>
    <tableColumn name="Column8166" id="8185"/>
    <tableColumn name="Column8167" id="8186"/>
    <tableColumn name="Column8168" id="8187"/>
    <tableColumn name="Column8169" id="8188"/>
    <tableColumn name="Column8170" id="8189"/>
    <tableColumn name="Column8171" id="8190"/>
    <tableColumn name="Column8172" id="8191"/>
    <tableColumn name="Column8173" id="8192"/>
    <tableColumn name="Column8174" id="8193"/>
    <tableColumn name="Column8175" id="8194"/>
    <tableColumn name="Column8176" id="8195"/>
    <tableColumn name="Column8177" id="8196"/>
    <tableColumn name="Column8178" id="8197"/>
    <tableColumn name="Column8179" id="8198"/>
    <tableColumn name="Column8180" id="8199"/>
    <tableColumn name="Column8181" id="8200"/>
    <tableColumn name="Column8182" id="8201"/>
    <tableColumn name="Column8183" id="8202"/>
    <tableColumn name="Column8184" id="8203"/>
    <tableColumn name="Column8185" id="8204"/>
    <tableColumn name="Column8186" id="8205"/>
    <tableColumn name="Column8187" id="8206"/>
    <tableColumn name="Column8188" id="8207"/>
    <tableColumn name="Column8189" id="8208"/>
    <tableColumn name="Column8190" id="8209"/>
    <tableColumn name="Column8191" id="8210"/>
    <tableColumn name="Column8192" id="8211"/>
    <tableColumn name="Column8193" id="8212"/>
    <tableColumn name="Column8194" id="8213"/>
    <tableColumn name="Column8195" id="8214"/>
    <tableColumn name="Column8196" id="8215"/>
    <tableColumn name="Column8197" id="8216"/>
    <tableColumn name="Column8198" id="8217"/>
    <tableColumn name="Column8199" id="8218"/>
    <tableColumn name="Column8200" id="8219"/>
    <tableColumn name="Column8201" id="8220"/>
    <tableColumn name="Column8202" id="8221"/>
    <tableColumn name="Column8203" id="8222"/>
    <tableColumn name="Column8204" id="8223"/>
    <tableColumn name="Column8205" id="8224"/>
    <tableColumn name="Column8206" id="8225"/>
    <tableColumn name="Column8207" id="8226"/>
    <tableColumn name="Column8208" id="8227"/>
    <tableColumn name="Column8209" id="8228"/>
    <tableColumn name="Column8210" id="8229"/>
    <tableColumn name="Column8211" id="8230"/>
    <tableColumn name="Column8212" id="8231"/>
    <tableColumn name="Column8213" id="8232"/>
    <tableColumn name="Column8214" id="8233"/>
    <tableColumn name="Column8215" id="8234"/>
    <tableColumn name="Column8216" id="8235"/>
    <tableColumn name="Column8217" id="8236"/>
    <tableColumn name="Column8218" id="8237"/>
    <tableColumn name="Column8219" id="8238"/>
    <tableColumn name="Column8220" id="8239"/>
    <tableColumn name="Column8221" id="8240"/>
    <tableColumn name="Column8222" id="8241"/>
    <tableColumn name="Column8223" id="8242"/>
    <tableColumn name="Column8224" id="8243"/>
    <tableColumn name="Column8225" id="8244"/>
    <tableColumn name="Column8226" id="8245"/>
    <tableColumn name="Column8227" id="8246"/>
    <tableColumn name="Column8228" id="8247"/>
    <tableColumn name="Column8229" id="8248"/>
    <tableColumn name="Column8230" id="8249"/>
    <tableColumn name="Column8231" id="8250"/>
    <tableColumn name="Column8232" id="8251"/>
    <tableColumn name="Column8233" id="8252"/>
    <tableColumn name="Column8234" id="8253"/>
    <tableColumn name="Column8235" id="8254"/>
    <tableColumn name="Column8236" id="8255"/>
    <tableColumn name="Column8237" id="8256"/>
    <tableColumn name="Column8238" id="8257"/>
    <tableColumn name="Column8239" id="8258"/>
    <tableColumn name="Column8240" id="8259"/>
    <tableColumn name="Column8241" id="8260"/>
    <tableColumn name="Column8242" id="8261"/>
    <tableColumn name="Column8243" id="8262"/>
    <tableColumn name="Column8244" id="8263"/>
    <tableColumn name="Column8245" id="8264"/>
    <tableColumn name="Column8246" id="8265"/>
    <tableColumn name="Column8247" id="8266"/>
    <tableColumn name="Column8248" id="8267"/>
    <tableColumn name="Column8249" id="8268"/>
    <tableColumn name="Column8250" id="8269"/>
    <tableColumn name="Column8251" id="8270"/>
    <tableColumn name="Column8252" id="8271"/>
    <tableColumn name="Column8253" id="8272"/>
    <tableColumn name="Column8254" id="8273"/>
    <tableColumn name="Column8255" id="8274"/>
    <tableColumn name="Column8256" id="8275"/>
    <tableColumn name="Column8257" id="8276"/>
    <tableColumn name="Column8258" id="8277"/>
    <tableColumn name="Column8259" id="8278"/>
    <tableColumn name="Column8260" id="8279"/>
    <tableColumn name="Column8261" id="8280"/>
    <tableColumn name="Column8262" id="8281"/>
    <tableColumn name="Column8263" id="8282"/>
    <tableColumn name="Column8264" id="8283"/>
    <tableColumn name="Column8265" id="8284"/>
    <tableColumn name="Column8266" id="8285"/>
    <tableColumn name="Column8267" id="8286"/>
    <tableColumn name="Column8268" id="8287"/>
    <tableColumn name="Column8269" id="8288"/>
    <tableColumn name="Column8270" id="8289"/>
    <tableColumn name="Column8271" id="8290"/>
    <tableColumn name="Column8272" id="8291"/>
    <tableColumn name="Column8273" id="8292"/>
    <tableColumn name="Column8274" id="8293"/>
    <tableColumn name="Column8275" id="8294"/>
    <tableColumn name="Column8276" id="8295"/>
    <tableColumn name="Column8277" id="8296"/>
    <tableColumn name="Column8278" id="8297"/>
    <tableColumn name="Column8279" id="8298"/>
    <tableColumn name="Column8280" id="8299"/>
    <tableColumn name="Column8281" id="8300"/>
    <tableColumn name="Column8282" id="8301"/>
    <tableColumn name="Column8283" id="8302"/>
    <tableColumn name="Column8284" id="8303"/>
    <tableColumn name="Column8285" id="8304"/>
    <tableColumn name="Column8286" id="8305"/>
    <tableColumn name="Column8287" id="8306"/>
    <tableColumn name="Column8288" id="8307"/>
    <tableColumn name="Column8289" id="8308"/>
    <tableColumn name="Column8290" id="8309"/>
    <tableColumn name="Column8291" id="8310"/>
    <tableColumn name="Column8292" id="8311"/>
    <tableColumn name="Column8293" id="8312"/>
    <tableColumn name="Column8294" id="8313"/>
    <tableColumn name="Column8295" id="8314"/>
    <tableColumn name="Column8296" id="8315"/>
    <tableColumn name="Column8297" id="8316"/>
    <tableColumn name="Column8298" id="8317"/>
    <tableColumn name="Column8299" id="8318"/>
    <tableColumn name="Column8300" id="8319"/>
    <tableColumn name="Column8301" id="8320"/>
    <tableColumn name="Column8302" id="8321"/>
    <tableColumn name="Column8303" id="8322"/>
    <tableColumn name="Column8304" id="8323"/>
    <tableColumn name="Column8305" id="8324"/>
    <tableColumn name="Column8306" id="8325"/>
    <tableColumn name="Column8307" id="8326"/>
    <tableColumn name="Column8308" id="8327"/>
    <tableColumn name="Column8309" id="8328"/>
    <tableColumn name="Column8310" id="8329"/>
    <tableColumn name="Column8311" id="8330"/>
    <tableColumn name="Column8312" id="8331"/>
    <tableColumn name="Column8313" id="8332"/>
    <tableColumn name="Column8314" id="8333"/>
    <tableColumn name="Column8315" id="8334"/>
    <tableColumn name="Column8316" id="8335"/>
    <tableColumn name="Column8317" id="8336"/>
    <tableColumn name="Column8318" id="8337"/>
    <tableColumn name="Column8319" id="8338"/>
    <tableColumn name="Column8320" id="8339"/>
    <tableColumn name="Column8321" id="8340"/>
    <tableColumn name="Column8322" id="8341"/>
    <tableColumn name="Column8323" id="8342"/>
    <tableColumn name="Column8324" id="8343"/>
    <tableColumn name="Column8325" id="8344"/>
    <tableColumn name="Column8326" id="8345"/>
    <tableColumn name="Column8327" id="8346"/>
    <tableColumn name="Column8328" id="8347"/>
    <tableColumn name="Column8329" id="8348"/>
    <tableColumn name="Column8330" id="8349"/>
    <tableColumn name="Column8331" id="8350"/>
    <tableColumn name="Column8332" id="8351"/>
    <tableColumn name="Column8333" id="8352"/>
    <tableColumn name="Column8334" id="8353"/>
    <tableColumn name="Column8335" id="8354"/>
    <tableColumn name="Column8336" id="8355"/>
    <tableColumn name="Column8337" id="8356"/>
    <tableColumn name="Column8338" id="8357"/>
    <tableColumn name="Column8339" id="8358"/>
    <tableColumn name="Column8340" id="8359"/>
    <tableColumn name="Column8341" id="8360"/>
    <tableColumn name="Column8342" id="8361"/>
    <tableColumn name="Column8343" id="8362"/>
    <tableColumn name="Column8344" id="8363"/>
    <tableColumn name="Column8345" id="8364"/>
    <tableColumn name="Column8346" id="8365"/>
    <tableColumn name="Column8347" id="8366"/>
    <tableColumn name="Column8348" id="8367"/>
    <tableColumn name="Column8349" id="8368"/>
    <tableColumn name="Column8350" id="8369"/>
    <tableColumn name="Column8351" id="8370"/>
    <tableColumn name="Column8352" id="8371"/>
    <tableColumn name="Column8353" id="8372"/>
    <tableColumn name="Column8354" id="8373"/>
    <tableColumn name="Column8355" id="8374"/>
    <tableColumn name="Column8356" id="8375"/>
    <tableColumn name="Column8357" id="8376"/>
    <tableColumn name="Column8358" id="8377"/>
    <tableColumn name="Column8359" id="8378"/>
    <tableColumn name="Column8360" id="8379"/>
    <tableColumn name="Column8361" id="8380"/>
    <tableColumn name="Column8362" id="8381"/>
    <tableColumn name="Column8363" id="8382"/>
    <tableColumn name="Column8364" id="8383"/>
    <tableColumn name="Column8365" id="8384"/>
    <tableColumn name="Column8366" id="8385"/>
    <tableColumn name="Column8367" id="8386"/>
    <tableColumn name="Column8368" id="8387"/>
    <tableColumn name="Column8369" id="8388"/>
    <tableColumn name="Column8370" id="8389"/>
    <tableColumn name="Column8371" id="8390"/>
    <tableColumn name="Column8372" id="8391"/>
    <tableColumn name="Column8373" id="8392"/>
    <tableColumn name="Column8374" id="8393"/>
    <tableColumn name="Column8375" id="8394"/>
    <tableColumn name="Column8376" id="8395"/>
    <tableColumn name="Column8377" id="8396"/>
    <tableColumn name="Column8378" id="8397"/>
    <tableColumn name="Column8379" id="8398"/>
    <tableColumn name="Column8380" id="8399"/>
    <tableColumn name="Column8381" id="8400"/>
    <tableColumn name="Column8382" id="8401"/>
    <tableColumn name="Column8383" id="8402"/>
    <tableColumn name="Column8384" id="8403"/>
    <tableColumn name="Column8385" id="8404"/>
    <tableColumn name="Column8386" id="8405"/>
    <tableColumn name="Column8387" id="8406"/>
    <tableColumn name="Column8388" id="8407"/>
    <tableColumn name="Column8389" id="8408"/>
    <tableColumn name="Column8390" id="8409"/>
    <tableColumn name="Column8391" id="8410"/>
    <tableColumn name="Column8392" id="8411"/>
    <tableColumn name="Column8393" id="8412"/>
    <tableColumn name="Column8394" id="8413"/>
    <tableColumn name="Column8395" id="8414"/>
    <tableColumn name="Column8396" id="8415"/>
    <tableColumn name="Column8397" id="8416"/>
    <tableColumn name="Column8398" id="8417"/>
    <tableColumn name="Column8399" id="8418"/>
    <tableColumn name="Column8400" id="8419"/>
    <tableColumn name="Column8401" id="8420"/>
    <tableColumn name="Column8402" id="8421"/>
    <tableColumn name="Column8403" id="8422"/>
    <tableColumn name="Column8404" id="8423"/>
    <tableColumn name="Column8405" id="8424"/>
    <tableColumn name="Column8406" id="8425"/>
    <tableColumn name="Column8407" id="8426"/>
    <tableColumn name="Column8408" id="8427"/>
    <tableColumn name="Column8409" id="8428"/>
    <tableColumn name="Column8410" id="8429"/>
    <tableColumn name="Column8411" id="8430"/>
    <tableColumn name="Column8412" id="8431"/>
    <tableColumn name="Column8413" id="8432"/>
    <tableColumn name="Column8414" id="8433"/>
    <tableColumn name="Column8415" id="8434"/>
    <tableColumn name="Column8416" id="8435"/>
    <tableColumn name="Column8417" id="8436"/>
    <tableColumn name="Column8418" id="8437"/>
    <tableColumn name="Column8419" id="8438"/>
    <tableColumn name="Column8420" id="8439"/>
    <tableColumn name="Column8421" id="8440"/>
    <tableColumn name="Column8422" id="8441"/>
    <tableColumn name="Column8423" id="8442"/>
    <tableColumn name="Column8424" id="8443"/>
    <tableColumn name="Column8425" id="8444"/>
    <tableColumn name="Column8426" id="8445"/>
    <tableColumn name="Column8427" id="8446"/>
    <tableColumn name="Column8428" id="8447"/>
    <tableColumn name="Column8429" id="8448"/>
    <tableColumn name="Column8430" id="8449"/>
    <tableColumn name="Column8431" id="8450"/>
    <tableColumn name="Column8432" id="8451"/>
    <tableColumn name="Column8433" id="8452"/>
    <tableColumn name="Column8434" id="8453"/>
    <tableColumn name="Column8435" id="8454"/>
    <tableColumn name="Column8436" id="8455"/>
    <tableColumn name="Column8437" id="8456"/>
    <tableColumn name="Column8438" id="8457"/>
    <tableColumn name="Column8439" id="8458"/>
    <tableColumn name="Column8440" id="8459"/>
    <tableColumn name="Column8441" id="8460"/>
    <tableColumn name="Column8442" id="8461"/>
    <tableColumn name="Column8443" id="8462"/>
    <tableColumn name="Column8444" id="8463"/>
    <tableColumn name="Column8445" id="8464"/>
    <tableColumn name="Column8446" id="8465"/>
    <tableColumn name="Column8447" id="8466"/>
    <tableColumn name="Column8448" id="8467"/>
    <tableColumn name="Column8449" id="8468"/>
    <tableColumn name="Column8450" id="8469"/>
    <tableColumn name="Column8451" id="8470"/>
    <tableColumn name="Column8452" id="8471"/>
    <tableColumn name="Column8453" id="8472"/>
    <tableColumn name="Column8454" id="8473"/>
    <tableColumn name="Column8455" id="8474"/>
    <tableColumn name="Column8456" id="8475"/>
    <tableColumn name="Column8457" id="8476"/>
    <tableColumn name="Column8458" id="8477"/>
    <tableColumn name="Column8459" id="8478"/>
    <tableColumn name="Column8460" id="8479"/>
    <tableColumn name="Column8461" id="8480"/>
    <tableColumn name="Column8462" id="8481"/>
    <tableColumn name="Column8463" id="8482"/>
    <tableColumn name="Column8464" id="8483"/>
    <tableColumn name="Column8465" id="8484"/>
    <tableColumn name="Column8466" id="8485"/>
    <tableColumn name="Column8467" id="8486"/>
    <tableColumn name="Column8468" id="8487"/>
    <tableColumn name="Column8469" id="8488"/>
    <tableColumn name="Column8470" id="8489"/>
    <tableColumn name="Column8471" id="8490"/>
    <tableColumn name="Column8472" id="8491"/>
    <tableColumn name="Column8473" id="8492"/>
    <tableColumn name="Column8474" id="8493"/>
    <tableColumn name="Column8475" id="8494"/>
    <tableColumn name="Column8476" id="8495"/>
    <tableColumn name="Column8477" id="8496"/>
    <tableColumn name="Column8478" id="8497"/>
    <tableColumn name="Column8479" id="8498"/>
    <tableColumn name="Column8480" id="8499"/>
    <tableColumn name="Column8481" id="8500"/>
    <tableColumn name="Column8482" id="8501"/>
    <tableColumn name="Column8483" id="8502"/>
    <tableColumn name="Column8484" id="8503"/>
    <tableColumn name="Column8485" id="8504"/>
    <tableColumn name="Column8486" id="8505"/>
    <tableColumn name="Column8487" id="8506"/>
    <tableColumn name="Column8488" id="8507"/>
    <tableColumn name="Column8489" id="8508"/>
    <tableColumn name="Column8490" id="8509"/>
    <tableColumn name="Column8491" id="8510"/>
    <tableColumn name="Column8492" id="8511"/>
    <tableColumn name="Column8493" id="8512"/>
    <tableColumn name="Column8494" id="8513"/>
    <tableColumn name="Column8495" id="8514"/>
    <tableColumn name="Column8496" id="8515"/>
    <tableColumn name="Column8497" id="8516"/>
    <tableColumn name="Column8498" id="8517"/>
    <tableColumn name="Column8499" id="8518"/>
    <tableColumn name="Column8500" id="8519"/>
    <tableColumn name="Column8501" id="8520"/>
    <tableColumn name="Column8502" id="8521"/>
    <tableColumn name="Column8503" id="8522"/>
    <tableColumn name="Column8504" id="8523"/>
    <tableColumn name="Column8505" id="8524"/>
    <tableColumn name="Column8506" id="8525"/>
    <tableColumn name="Column8507" id="8526"/>
    <tableColumn name="Column8508" id="8527"/>
    <tableColumn name="Column8509" id="8528"/>
    <tableColumn name="Column8510" id="8529"/>
    <tableColumn name="Column8511" id="8530"/>
    <tableColumn name="Column8512" id="8531"/>
    <tableColumn name="Column8513" id="8532"/>
    <tableColumn name="Column8514" id="8533"/>
    <tableColumn name="Column8515" id="8534"/>
    <tableColumn name="Column8516" id="8535"/>
    <tableColumn name="Column8517" id="8536"/>
    <tableColumn name="Column8518" id="8537"/>
    <tableColumn name="Column8519" id="8538"/>
    <tableColumn name="Column8520" id="8539"/>
    <tableColumn name="Column8521" id="8540"/>
    <tableColumn name="Column8522" id="8541"/>
    <tableColumn name="Column8523" id="8542"/>
    <tableColumn name="Column8524" id="8543"/>
    <tableColumn name="Column8525" id="8544"/>
    <tableColumn name="Column8526" id="8545"/>
    <tableColumn name="Column8527" id="8546"/>
    <tableColumn name="Column8528" id="8547"/>
    <tableColumn name="Column8529" id="8548"/>
    <tableColumn name="Column8530" id="8549"/>
    <tableColumn name="Column8531" id="8550"/>
    <tableColumn name="Column8532" id="8551"/>
    <tableColumn name="Column8533" id="8552"/>
    <tableColumn name="Column8534" id="8553"/>
    <tableColumn name="Column8535" id="8554"/>
    <tableColumn name="Column8536" id="8555"/>
    <tableColumn name="Column8537" id="8556"/>
    <tableColumn name="Column8538" id="8557"/>
    <tableColumn name="Column8539" id="8558"/>
    <tableColumn name="Column8540" id="8559"/>
    <tableColumn name="Column8541" id="8560"/>
    <tableColumn name="Column8542" id="8561"/>
    <tableColumn name="Column8543" id="8562"/>
    <tableColumn name="Column8544" id="8563"/>
    <tableColumn name="Column8545" id="8564"/>
    <tableColumn name="Column8546" id="8565"/>
    <tableColumn name="Column8547" id="8566"/>
    <tableColumn name="Column8548" id="8567"/>
    <tableColumn name="Column8549" id="8568"/>
    <tableColumn name="Column8550" id="8569"/>
    <tableColumn name="Column8551" id="8570"/>
    <tableColumn name="Column8552" id="8571"/>
    <tableColumn name="Column8553" id="8572"/>
    <tableColumn name="Column8554" id="8573"/>
    <tableColumn name="Column8555" id="8574"/>
    <tableColumn name="Column8556" id="8575"/>
    <tableColumn name="Column8557" id="8576"/>
    <tableColumn name="Column8558" id="8577"/>
    <tableColumn name="Column8559" id="8578"/>
    <tableColumn name="Column8560" id="8579"/>
    <tableColumn name="Column8561" id="8580"/>
    <tableColumn name="Column8562" id="8581"/>
    <tableColumn name="Column8563" id="8582"/>
    <tableColumn name="Column8564" id="8583"/>
    <tableColumn name="Column8565" id="8584"/>
    <tableColumn name="Column8566" id="8585"/>
    <tableColumn name="Column8567" id="8586"/>
    <tableColumn name="Column8568" id="8587"/>
    <tableColumn name="Column8569" id="8588"/>
    <tableColumn name="Column8570" id="8589"/>
    <tableColumn name="Column8571" id="8590"/>
    <tableColumn name="Column8572" id="8591"/>
    <tableColumn name="Column8573" id="8592"/>
    <tableColumn name="Column8574" id="8593"/>
    <tableColumn name="Column8575" id="8594"/>
    <tableColumn name="Column8576" id="8595"/>
    <tableColumn name="Column8577" id="8596"/>
    <tableColumn name="Column8578" id="8597"/>
    <tableColumn name="Column8579" id="8598"/>
    <tableColumn name="Column8580" id="8599"/>
    <tableColumn name="Column8581" id="8600"/>
    <tableColumn name="Column8582" id="8601"/>
    <tableColumn name="Column8583" id="8602"/>
    <tableColumn name="Column8584" id="8603"/>
    <tableColumn name="Column8585" id="8604"/>
    <tableColumn name="Column8586" id="8605"/>
    <tableColumn name="Column8587" id="8606"/>
    <tableColumn name="Column8588" id="8607"/>
    <tableColumn name="Column8589" id="8608"/>
    <tableColumn name="Column8590" id="8609"/>
    <tableColumn name="Column8591" id="8610"/>
    <tableColumn name="Column8592" id="8611"/>
    <tableColumn name="Column8593" id="8612"/>
    <tableColumn name="Column8594" id="8613"/>
    <tableColumn name="Column8595" id="8614"/>
    <tableColumn name="Column8596" id="8615"/>
    <tableColumn name="Column8597" id="8616"/>
    <tableColumn name="Column8598" id="8617"/>
    <tableColumn name="Column8599" id="8618"/>
    <tableColumn name="Column8600" id="8619"/>
    <tableColumn name="Column8601" id="8620"/>
    <tableColumn name="Column8602" id="8621"/>
    <tableColumn name="Column8603" id="8622"/>
    <tableColumn name="Column8604" id="8623"/>
    <tableColumn name="Column8605" id="8624"/>
    <tableColumn name="Column8606" id="8625"/>
    <tableColumn name="Column8607" id="8626"/>
    <tableColumn name="Column8608" id="8627"/>
    <tableColumn name="Column8609" id="8628"/>
    <tableColumn name="Column8610" id="8629"/>
    <tableColumn name="Column8611" id="8630"/>
    <tableColumn name="Column8612" id="8631"/>
    <tableColumn name="Column8613" id="8632"/>
    <tableColumn name="Column8614" id="8633"/>
    <tableColumn name="Column8615" id="8634"/>
    <tableColumn name="Column8616" id="8635"/>
    <tableColumn name="Column8617" id="8636"/>
    <tableColumn name="Column8618" id="8637"/>
    <tableColumn name="Column8619" id="8638"/>
    <tableColumn name="Column8620" id="8639"/>
    <tableColumn name="Column8621" id="8640"/>
    <tableColumn name="Column8622" id="8641"/>
    <tableColumn name="Column8623" id="8642"/>
    <tableColumn name="Column8624" id="8643"/>
    <tableColumn name="Column8625" id="8644"/>
    <tableColumn name="Column8626" id="8645"/>
    <tableColumn name="Column8627" id="8646"/>
    <tableColumn name="Column8628" id="8647"/>
    <tableColumn name="Column8629" id="8648"/>
    <tableColumn name="Column8630" id="8649"/>
    <tableColumn name="Column8631" id="8650"/>
    <tableColumn name="Column8632" id="8651"/>
    <tableColumn name="Column8633" id="8652"/>
    <tableColumn name="Column8634" id="8653"/>
    <tableColumn name="Column8635" id="8654"/>
    <tableColumn name="Column8636" id="8655"/>
    <tableColumn name="Column8637" id="8656"/>
    <tableColumn name="Column8638" id="8657"/>
    <tableColumn name="Column8639" id="8658"/>
    <tableColumn name="Column8640" id="8659"/>
    <tableColumn name="Column8641" id="8660"/>
    <tableColumn name="Column8642" id="8661"/>
    <tableColumn name="Column8643" id="8662"/>
    <tableColumn name="Column8644" id="8663"/>
    <tableColumn name="Column8645" id="8664"/>
    <tableColumn name="Column8646" id="8665"/>
    <tableColumn name="Column8647" id="8666"/>
    <tableColumn name="Column8648" id="8667"/>
    <tableColumn name="Column8649" id="8668"/>
    <tableColumn name="Column8650" id="8669"/>
    <tableColumn name="Column8651" id="8670"/>
    <tableColumn name="Column8652" id="8671"/>
    <tableColumn name="Column8653" id="8672"/>
    <tableColumn name="Column8654" id="8673"/>
    <tableColumn name="Column8655" id="8674"/>
    <tableColumn name="Column8656" id="8675"/>
    <tableColumn name="Column8657" id="8676"/>
    <tableColumn name="Column8658" id="8677"/>
    <tableColumn name="Column8659" id="8678"/>
    <tableColumn name="Column8660" id="8679"/>
    <tableColumn name="Column8661" id="8680"/>
    <tableColumn name="Column8662" id="8681"/>
    <tableColumn name="Column8663" id="8682"/>
    <tableColumn name="Column8664" id="8683"/>
    <tableColumn name="Column8665" id="8684"/>
    <tableColumn name="Column8666" id="8685"/>
    <tableColumn name="Column8667" id="8686"/>
    <tableColumn name="Column8668" id="8687"/>
    <tableColumn name="Column8669" id="8688"/>
    <tableColumn name="Column8670" id="8689"/>
    <tableColumn name="Column8671" id="8690"/>
    <tableColumn name="Column8672" id="8691"/>
    <tableColumn name="Column8673" id="8692"/>
    <tableColumn name="Column8674" id="8693"/>
    <tableColumn name="Column8675" id="8694"/>
    <tableColumn name="Column8676" id="8695"/>
    <tableColumn name="Column8677" id="8696"/>
    <tableColumn name="Column8678" id="8697"/>
    <tableColumn name="Column8679" id="8698"/>
    <tableColumn name="Column8680" id="8699"/>
    <tableColumn name="Column8681" id="8700"/>
    <tableColumn name="Column8682" id="8701"/>
    <tableColumn name="Column8683" id="8702"/>
    <tableColumn name="Column8684" id="8703"/>
    <tableColumn name="Column8685" id="8704"/>
    <tableColumn name="Column8686" id="8705"/>
    <tableColumn name="Column8687" id="8706"/>
    <tableColumn name="Column8688" id="8707"/>
    <tableColumn name="Column8689" id="8708"/>
    <tableColumn name="Column8690" id="8709"/>
    <tableColumn name="Column8691" id="8710"/>
    <tableColumn name="Column8692" id="8711"/>
    <tableColumn name="Column8693" id="8712"/>
    <tableColumn name="Column8694" id="8713"/>
    <tableColumn name="Column8695" id="8714"/>
    <tableColumn name="Column8696" id="8715"/>
    <tableColumn name="Column8697" id="8716"/>
    <tableColumn name="Column8698" id="8717"/>
    <tableColumn name="Column8699" id="8718"/>
    <tableColumn name="Column8700" id="8719"/>
    <tableColumn name="Column8701" id="8720"/>
    <tableColumn name="Column8702" id="8721"/>
    <tableColumn name="Column8703" id="8722"/>
    <tableColumn name="Column8704" id="8723"/>
    <tableColumn name="Column8705" id="8724"/>
    <tableColumn name="Column8706" id="8725"/>
    <tableColumn name="Column8707" id="8726"/>
    <tableColumn name="Column8708" id="8727"/>
    <tableColumn name="Column8709" id="8728"/>
    <tableColumn name="Column8710" id="8729"/>
    <tableColumn name="Column8711" id="8730"/>
    <tableColumn name="Column8712" id="8731"/>
    <tableColumn name="Column8713" id="8732"/>
    <tableColumn name="Column8714" id="8733"/>
    <tableColumn name="Column8715" id="8734"/>
    <tableColumn name="Column8716" id="8735"/>
    <tableColumn name="Column8717" id="8736"/>
    <tableColumn name="Column8718" id="8737"/>
    <tableColumn name="Column8719" id="8738"/>
    <tableColumn name="Column8720" id="8739"/>
    <tableColumn name="Column8721" id="8740"/>
    <tableColumn name="Column8722" id="8741"/>
    <tableColumn name="Column8723" id="8742"/>
    <tableColumn name="Column8724" id="8743"/>
    <tableColumn name="Column8725" id="8744"/>
    <tableColumn name="Column8726" id="8745"/>
    <tableColumn name="Column8727" id="8746"/>
    <tableColumn name="Column8728" id="8747"/>
    <tableColumn name="Column8729" id="8748"/>
    <tableColumn name="Column8730" id="8749"/>
    <tableColumn name="Column8731" id="8750"/>
    <tableColumn name="Column8732" id="8751"/>
    <tableColumn name="Column8733" id="8752"/>
    <tableColumn name="Column8734" id="8753"/>
    <tableColumn name="Column8735" id="8754"/>
    <tableColumn name="Column8736" id="8755"/>
    <tableColumn name="Column8737" id="8756"/>
    <tableColumn name="Column8738" id="8757"/>
    <tableColumn name="Column8739" id="8758"/>
    <tableColumn name="Column8740" id="8759"/>
    <tableColumn name="Column8741" id="8760"/>
    <tableColumn name="Column8742" id="8761"/>
    <tableColumn name="Column8743" id="8762"/>
    <tableColumn name="Column8744" id="8763"/>
    <tableColumn name="Column8745" id="8764"/>
    <tableColumn name="Column8746" id="8765"/>
    <tableColumn name="Column8747" id="8766"/>
    <tableColumn name="Column8748" id="8767"/>
    <tableColumn name="Column8749" id="8768"/>
    <tableColumn name="Column8750" id="8769"/>
    <tableColumn name="Column8751" id="8770"/>
    <tableColumn name="Column8752" id="8771"/>
    <tableColumn name="Column8753" id="8772"/>
    <tableColumn name="Column8754" id="8773"/>
    <tableColumn name="Column8755" id="8774"/>
    <tableColumn name="Column8756" id="8775"/>
    <tableColumn name="Column8757" id="8776"/>
    <tableColumn name="Column8758" id="8777"/>
    <tableColumn name="Column8759" id="8778"/>
    <tableColumn name="Column8760" id="8779"/>
    <tableColumn name="Column8761" id="8780"/>
    <tableColumn name="Column8762" id="8781"/>
    <tableColumn name="Column8763" id="8782"/>
    <tableColumn name="Column8764" id="8783"/>
    <tableColumn name="Column8765" id="8784"/>
    <tableColumn name="Column8766" id="8785"/>
    <tableColumn name="Column8767" id="8786"/>
    <tableColumn name="Column8768" id="8787"/>
    <tableColumn name="Column8769" id="8788"/>
    <tableColumn name="Column8770" id="8789"/>
    <tableColumn name="Column8771" id="8790"/>
    <tableColumn name="Column8772" id="8791"/>
    <tableColumn name="Column8773" id="8792"/>
    <tableColumn name="Column8774" id="8793"/>
    <tableColumn name="Column8775" id="8794"/>
    <tableColumn name="Column8776" id="8795"/>
    <tableColumn name="Column8777" id="8796"/>
    <tableColumn name="Column8778" id="8797"/>
    <tableColumn name="Column8779" id="8798"/>
    <tableColumn name="Column8780" id="8799"/>
    <tableColumn name="Column8781" id="8800"/>
    <tableColumn name="Column8782" id="8801"/>
    <tableColumn name="Column8783" id="8802"/>
    <tableColumn name="Column8784" id="8803"/>
    <tableColumn name="Column8785" id="8804"/>
    <tableColumn name="Column8786" id="8805"/>
    <tableColumn name="Column8787" id="8806"/>
    <tableColumn name="Column8788" id="8807"/>
    <tableColumn name="Column8789" id="8808"/>
    <tableColumn name="Column8790" id="8809"/>
    <tableColumn name="Column8791" id="8810"/>
    <tableColumn name="Column8792" id="8811"/>
    <tableColumn name="Column8793" id="8812"/>
    <tableColumn name="Column8794" id="8813"/>
    <tableColumn name="Column8795" id="8814"/>
    <tableColumn name="Column8796" id="8815"/>
    <tableColumn name="Column8797" id="8816"/>
    <tableColumn name="Column8798" id="8817"/>
    <tableColumn name="Column8799" id="8818"/>
    <tableColumn name="Column8800" id="8819"/>
    <tableColumn name="Column8801" id="8820"/>
    <tableColumn name="Column8802" id="8821"/>
    <tableColumn name="Column8803" id="8822"/>
    <tableColumn name="Column8804" id="8823"/>
    <tableColumn name="Column8805" id="8824"/>
    <tableColumn name="Column8806" id="8825"/>
    <tableColumn name="Column8807" id="8826"/>
    <tableColumn name="Column8808" id="8827"/>
    <tableColumn name="Column8809" id="8828"/>
    <tableColumn name="Column8810" id="8829"/>
    <tableColumn name="Column8811" id="8830"/>
    <tableColumn name="Column8812" id="8831"/>
    <tableColumn name="Column8813" id="8832"/>
    <tableColumn name="Column8814" id="8833"/>
    <tableColumn name="Column8815" id="8834"/>
    <tableColumn name="Column8816" id="8835"/>
    <tableColumn name="Column8817" id="8836"/>
    <tableColumn name="Column8818" id="8837"/>
    <tableColumn name="Column8819" id="8838"/>
    <tableColumn name="Column8820" id="8839"/>
    <tableColumn name="Column8821" id="8840"/>
    <tableColumn name="Column8822" id="8841"/>
    <tableColumn name="Column8823" id="8842"/>
    <tableColumn name="Column8824" id="8843"/>
    <tableColumn name="Column8825" id="8844"/>
    <tableColumn name="Column8826" id="8845"/>
    <tableColumn name="Column8827" id="8846"/>
    <tableColumn name="Column8828" id="8847"/>
    <tableColumn name="Column8829" id="8848"/>
    <tableColumn name="Column8830" id="8849"/>
    <tableColumn name="Column8831" id="8850"/>
    <tableColumn name="Column8832" id="8851"/>
    <tableColumn name="Column8833" id="8852"/>
    <tableColumn name="Column8834" id="8853"/>
    <tableColumn name="Column8835" id="8854"/>
    <tableColumn name="Column8836" id="8855"/>
    <tableColumn name="Column8837" id="8856"/>
    <tableColumn name="Column8838" id="8857"/>
    <tableColumn name="Column8839" id="8858"/>
    <tableColumn name="Column8840" id="8859"/>
    <tableColumn name="Column8841" id="8860"/>
    <tableColumn name="Column8842" id="8861"/>
    <tableColumn name="Column8843" id="8862"/>
    <tableColumn name="Column8844" id="8863"/>
    <tableColumn name="Column8845" id="8864"/>
    <tableColumn name="Column8846" id="8865"/>
    <tableColumn name="Column8847" id="8866"/>
    <tableColumn name="Column8848" id="8867"/>
    <tableColumn name="Column8849" id="8868"/>
    <tableColumn name="Column8850" id="8869"/>
    <tableColumn name="Column8851" id="8870"/>
    <tableColumn name="Column8852" id="8871"/>
    <tableColumn name="Column8853" id="8872"/>
    <tableColumn name="Column8854" id="8873"/>
    <tableColumn name="Column8855" id="8874"/>
    <tableColumn name="Column8856" id="8875"/>
    <tableColumn name="Column8857" id="8876"/>
    <tableColumn name="Column8858" id="8877"/>
    <tableColumn name="Column8859" id="8878"/>
    <tableColumn name="Column8860" id="8879"/>
    <tableColumn name="Column8861" id="8880"/>
    <tableColumn name="Column8862" id="8881"/>
    <tableColumn name="Column8863" id="8882"/>
    <tableColumn name="Column8864" id="8883"/>
    <tableColumn name="Column8865" id="8884"/>
    <tableColumn name="Column8866" id="8885"/>
    <tableColumn name="Column8867" id="8886"/>
    <tableColumn name="Column8868" id="8887"/>
    <tableColumn name="Column8869" id="8888"/>
    <tableColumn name="Column8870" id="8889"/>
    <tableColumn name="Column8871" id="8890"/>
    <tableColumn name="Column8872" id="8891"/>
    <tableColumn name="Column8873" id="8892"/>
    <tableColumn name="Column8874" id="8893"/>
    <tableColumn name="Column8875" id="8894"/>
    <tableColumn name="Column8876" id="8895"/>
    <tableColumn name="Column8877" id="8896"/>
    <tableColumn name="Column8878" id="8897"/>
    <tableColumn name="Column8879" id="8898"/>
    <tableColumn name="Column8880" id="8899"/>
    <tableColumn name="Column8881" id="8900"/>
    <tableColumn name="Column8882" id="8901"/>
    <tableColumn name="Column8883" id="8902"/>
    <tableColumn name="Column8884" id="8903"/>
    <tableColumn name="Column8885" id="8904"/>
    <tableColumn name="Column8886" id="8905"/>
    <tableColumn name="Column8887" id="8906"/>
    <tableColumn name="Column8888" id="8907"/>
    <tableColumn name="Column8889" id="8908"/>
    <tableColumn name="Column8890" id="8909"/>
    <tableColumn name="Column8891" id="8910"/>
    <tableColumn name="Column8892" id="8911"/>
    <tableColumn name="Column8893" id="8912"/>
    <tableColumn name="Column8894" id="8913"/>
    <tableColumn name="Column8895" id="8914"/>
    <tableColumn name="Column8896" id="8915"/>
    <tableColumn name="Column8897" id="8916"/>
    <tableColumn name="Column8898" id="8917"/>
    <tableColumn name="Column8899" id="8918"/>
    <tableColumn name="Column8900" id="8919"/>
    <tableColumn name="Column8901" id="8920"/>
    <tableColumn name="Column8902" id="8921"/>
    <tableColumn name="Column8903" id="8922"/>
    <tableColumn name="Column8904" id="8923"/>
    <tableColumn name="Column8905" id="8924"/>
    <tableColumn name="Column8906" id="8925"/>
    <tableColumn name="Column8907" id="8926"/>
    <tableColumn name="Column8908" id="8927"/>
    <tableColumn name="Column8909" id="8928"/>
    <tableColumn name="Column8910" id="8929"/>
    <tableColumn name="Column8911" id="8930"/>
    <tableColumn name="Column8912" id="8931"/>
    <tableColumn name="Column8913" id="8932"/>
    <tableColumn name="Column8914" id="8933"/>
    <tableColumn name="Column8915" id="8934"/>
    <tableColumn name="Column8916" id="8935"/>
    <tableColumn name="Column8917" id="8936"/>
    <tableColumn name="Column8918" id="8937"/>
    <tableColumn name="Column8919" id="8938"/>
    <tableColumn name="Column8920" id="8939"/>
    <tableColumn name="Column8921" id="8940"/>
    <tableColumn name="Column8922" id="8941"/>
    <tableColumn name="Column8923" id="8942"/>
    <tableColumn name="Column8924" id="8943"/>
    <tableColumn name="Column8925" id="8944"/>
    <tableColumn name="Column8926" id="8945"/>
    <tableColumn name="Column8927" id="8946"/>
    <tableColumn name="Column8928" id="8947"/>
    <tableColumn name="Column8929" id="8948"/>
    <tableColumn name="Column8930" id="8949"/>
    <tableColumn name="Column8931" id="8950"/>
    <tableColumn name="Column8932" id="8951"/>
    <tableColumn name="Column8933" id="8952"/>
    <tableColumn name="Column8934" id="8953"/>
    <tableColumn name="Column8935" id="8954"/>
    <tableColumn name="Column8936" id="8955"/>
    <tableColumn name="Column8937" id="8956"/>
    <tableColumn name="Column8938" id="8957"/>
    <tableColumn name="Column8939" id="8958"/>
    <tableColumn name="Column8940" id="8959"/>
    <tableColumn name="Column8941" id="8960"/>
    <tableColumn name="Column8942" id="8961"/>
    <tableColumn name="Column8943" id="8962"/>
    <tableColumn name="Column8944" id="8963"/>
    <tableColumn name="Column8945" id="8964"/>
    <tableColumn name="Column8946" id="8965"/>
    <tableColumn name="Column8947" id="8966"/>
    <tableColumn name="Column8948" id="8967"/>
    <tableColumn name="Column8949" id="8968"/>
    <tableColumn name="Column8950" id="8969"/>
    <tableColumn name="Column8951" id="8970"/>
    <tableColumn name="Column8952" id="8971"/>
    <tableColumn name="Column8953" id="8972"/>
    <tableColumn name="Column8954" id="8973"/>
    <tableColumn name="Column8955" id="8974"/>
    <tableColumn name="Column8956" id="8975"/>
    <tableColumn name="Column8957" id="8976"/>
    <tableColumn name="Column8958" id="8977"/>
    <tableColumn name="Column8959" id="8978"/>
    <tableColumn name="Column8960" id="8979"/>
    <tableColumn name="Column8961" id="8980"/>
    <tableColumn name="Column8962" id="8981"/>
    <tableColumn name="Column8963" id="8982"/>
    <tableColumn name="Column8964" id="8983"/>
    <tableColumn name="Column8965" id="8984"/>
    <tableColumn name="Column8966" id="8985"/>
    <tableColumn name="Column8967" id="8986"/>
    <tableColumn name="Column8968" id="8987"/>
    <tableColumn name="Column8969" id="8988"/>
    <tableColumn name="Column8970" id="8989"/>
    <tableColumn name="Column8971" id="8990"/>
    <tableColumn name="Column8972" id="8991"/>
    <tableColumn name="Column8973" id="8992"/>
    <tableColumn name="Column8974" id="8993"/>
    <tableColumn name="Column8975" id="8994"/>
    <tableColumn name="Column8976" id="8995"/>
    <tableColumn name="Column8977" id="8996"/>
    <tableColumn name="Column8978" id="8997"/>
    <tableColumn name="Column8979" id="8998"/>
    <tableColumn name="Column8980" id="8999"/>
    <tableColumn name="Column8981" id="9000"/>
    <tableColumn name="Column8982" id="9001"/>
    <tableColumn name="Column8983" id="9002"/>
    <tableColumn name="Column8984" id="9003"/>
    <tableColumn name="Column8985" id="9004"/>
    <tableColumn name="Column8986" id="9005"/>
    <tableColumn name="Column8987" id="9006"/>
    <tableColumn name="Column8988" id="9007"/>
    <tableColumn name="Column8989" id="9008"/>
    <tableColumn name="Column8990" id="9009"/>
    <tableColumn name="Column8991" id="9010"/>
    <tableColumn name="Column8992" id="9011"/>
    <tableColumn name="Column8993" id="9012"/>
    <tableColumn name="Column8994" id="9013"/>
    <tableColumn name="Column8995" id="9014"/>
    <tableColumn name="Column8996" id="9015"/>
    <tableColumn name="Column8997" id="9016"/>
    <tableColumn name="Column8998" id="9017"/>
    <tableColumn name="Column8999" id="9018"/>
    <tableColumn name="Column9000" id="9019"/>
    <tableColumn name="Column9001" id="9020"/>
    <tableColumn name="Column9002" id="9021"/>
    <tableColumn name="Column9003" id="9022"/>
    <tableColumn name="Column9004" id="9023"/>
    <tableColumn name="Column9005" id="9024"/>
    <tableColumn name="Column9006" id="9025"/>
    <tableColumn name="Column9007" id="9026"/>
    <tableColumn name="Column9008" id="9027"/>
    <tableColumn name="Column9009" id="9028"/>
    <tableColumn name="Column9010" id="9029"/>
    <tableColumn name="Column9011" id="9030"/>
    <tableColumn name="Column9012" id="9031"/>
    <tableColumn name="Column9013" id="9032"/>
    <tableColumn name="Column9014" id="9033"/>
    <tableColumn name="Column9015" id="9034"/>
    <tableColumn name="Column9016" id="9035"/>
    <tableColumn name="Column9017" id="9036"/>
    <tableColumn name="Column9018" id="9037"/>
    <tableColumn name="Column9019" id="9038"/>
    <tableColumn name="Column9020" id="9039"/>
    <tableColumn name="Column9021" id="9040"/>
    <tableColumn name="Column9022" id="9041"/>
    <tableColumn name="Column9023" id="9042"/>
    <tableColumn name="Column9024" id="9043"/>
    <tableColumn name="Column9025" id="9044"/>
    <tableColumn name="Column9026" id="9045"/>
    <tableColumn name="Column9027" id="9046"/>
    <tableColumn name="Column9028" id="9047"/>
    <tableColumn name="Column9029" id="9048"/>
    <tableColumn name="Column9030" id="9049"/>
    <tableColumn name="Column9031" id="9050"/>
    <tableColumn name="Column9032" id="9051"/>
    <tableColumn name="Column9033" id="9052"/>
    <tableColumn name="Column9034" id="9053"/>
    <tableColumn name="Column9035" id="9054"/>
    <tableColumn name="Column9036" id="9055"/>
    <tableColumn name="Column9037" id="9056"/>
    <tableColumn name="Column9038" id="9057"/>
    <tableColumn name="Column9039" id="9058"/>
    <tableColumn name="Column9040" id="9059"/>
    <tableColumn name="Column9041" id="9060"/>
    <tableColumn name="Column9042" id="9061"/>
    <tableColumn name="Column9043" id="9062"/>
    <tableColumn name="Column9044" id="9063"/>
    <tableColumn name="Column9045" id="9064"/>
    <tableColumn name="Column9046" id="9065"/>
    <tableColumn name="Column9047" id="9066"/>
    <tableColumn name="Column9048" id="9067"/>
    <tableColumn name="Column9049" id="9068"/>
    <tableColumn name="Column9050" id="9069"/>
    <tableColumn name="Column9051" id="9070"/>
    <tableColumn name="Column9052" id="9071"/>
    <tableColumn name="Column9053" id="9072"/>
    <tableColumn name="Column9054" id="9073"/>
    <tableColumn name="Column9055" id="9074"/>
    <tableColumn name="Column9056" id="9075"/>
    <tableColumn name="Column9057" id="9076"/>
    <tableColumn name="Column9058" id="9077"/>
    <tableColumn name="Column9059" id="9078"/>
    <tableColumn name="Column9060" id="9079"/>
    <tableColumn name="Column9061" id="9080"/>
    <tableColumn name="Column9062" id="9081"/>
    <tableColumn name="Column9063" id="9082"/>
    <tableColumn name="Column9064" id="9083"/>
    <tableColumn name="Column9065" id="9084"/>
    <tableColumn name="Column9066" id="9085"/>
    <tableColumn name="Column9067" id="9086"/>
    <tableColumn name="Column9068" id="9087"/>
    <tableColumn name="Column9069" id="9088"/>
    <tableColumn name="Column9070" id="9089"/>
    <tableColumn name="Column9071" id="9090"/>
    <tableColumn name="Column9072" id="9091"/>
    <tableColumn name="Column9073" id="9092"/>
    <tableColumn name="Column9074" id="9093"/>
    <tableColumn name="Column9075" id="9094"/>
    <tableColumn name="Column9076" id="9095"/>
    <tableColumn name="Column9077" id="9096"/>
    <tableColumn name="Column9078" id="9097"/>
    <tableColumn name="Column9079" id="9098"/>
    <tableColumn name="Column9080" id="9099"/>
    <tableColumn name="Column9081" id="9100"/>
    <tableColumn name="Column9082" id="9101"/>
    <tableColumn name="Column9083" id="9102"/>
    <tableColumn name="Column9084" id="9103"/>
    <tableColumn name="Column9085" id="9104"/>
    <tableColumn name="Column9086" id="9105"/>
    <tableColumn name="Column9087" id="9106"/>
    <tableColumn name="Column9088" id="9107"/>
    <tableColumn name="Column9089" id="9108"/>
    <tableColumn name="Column9090" id="9109"/>
    <tableColumn name="Column9091" id="9110"/>
    <tableColumn name="Column9092" id="9111"/>
    <tableColumn name="Column9093" id="9112"/>
    <tableColumn name="Column9094" id="9113"/>
    <tableColumn name="Column9095" id="9114"/>
    <tableColumn name="Column9096" id="9115"/>
    <tableColumn name="Column9097" id="9116"/>
    <tableColumn name="Column9098" id="9117"/>
    <tableColumn name="Column9099" id="9118"/>
    <tableColumn name="Column9100" id="9119"/>
    <tableColumn name="Column9101" id="9120"/>
    <tableColumn name="Column9102" id="9121"/>
    <tableColumn name="Column9103" id="9122"/>
    <tableColumn name="Column9104" id="9123"/>
    <tableColumn name="Column9105" id="9124"/>
    <tableColumn name="Column9106" id="9125"/>
    <tableColumn name="Column9107" id="9126"/>
    <tableColumn name="Column9108" id="9127"/>
    <tableColumn name="Column9109" id="9128"/>
    <tableColumn name="Column9110" id="9129"/>
    <tableColumn name="Column9111" id="9130"/>
    <tableColumn name="Column9112" id="9131"/>
    <tableColumn name="Column9113" id="9132"/>
    <tableColumn name="Column9114" id="9133"/>
    <tableColumn name="Column9115" id="9134"/>
    <tableColumn name="Column9116" id="9135"/>
    <tableColumn name="Column9117" id="9136"/>
    <tableColumn name="Column9118" id="9137"/>
    <tableColumn name="Column9119" id="9138"/>
    <tableColumn name="Column9120" id="9139"/>
    <tableColumn name="Column9121" id="9140"/>
    <tableColumn name="Column9122" id="9141"/>
    <tableColumn name="Column9123" id="9142"/>
    <tableColumn name="Column9124" id="9143"/>
    <tableColumn name="Column9125" id="9144"/>
    <tableColumn name="Column9126" id="9145"/>
    <tableColumn name="Column9127" id="9146"/>
    <tableColumn name="Column9128" id="9147"/>
    <tableColumn name="Column9129" id="9148"/>
    <tableColumn name="Column9130" id="9149"/>
    <tableColumn name="Column9131" id="9150"/>
    <tableColumn name="Column9132" id="9151"/>
    <tableColumn name="Column9133" id="9152"/>
    <tableColumn name="Column9134" id="9153"/>
    <tableColumn name="Column9135" id="9154"/>
    <tableColumn name="Column9136" id="9155"/>
    <tableColumn name="Column9137" id="9156"/>
    <tableColumn name="Column9138" id="9157"/>
    <tableColumn name="Column9139" id="9158"/>
    <tableColumn name="Column9140" id="9159"/>
    <tableColumn name="Column9141" id="9160"/>
    <tableColumn name="Column9142" id="9161"/>
    <tableColumn name="Column9143" id="9162"/>
    <tableColumn name="Column9144" id="9163"/>
    <tableColumn name="Column9145" id="9164"/>
    <tableColumn name="Column9146" id="9165"/>
    <tableColumn name="Column9147" id="9166"/>
    <tableColumn name="Column9148" id="9167"/>
    <tableColumn name="Column9149" id="9168"/>
    <tableColumn name="Column9150" id="9169"/>
    <tableColumn name="Column9151" id="9170"/>
    <tableColumn name="Column9152" id="9171"/>
    <tableColumn name="Column9153" id="9172"/>
    <tableColumn name="Column9154" id="9173"/>
    <tableColumn name="Column9155" id="9174"/>
    <tableColumn name="Column9156" id="9175"/>
    <tableColumn name="Column9157" id="9176"/>
    <tableColumn name="Column9158" id="9177"/>
    <tableColumn name="Column9159" id="9178"/>
    <tableColumn name="Column9160" id="9179"/>
    <tableColumn name="Column9161" id="9180"/>
    <tableColumn name="Column9162" id="9181"/>
    <tableColumn name="Column9163" id="9182"/>
    <tableColumn name="Column9164" id="9183"/>
    <tableColumn name="Column9165" id="9184"/>
    <tableColumn name="Column9166" id="9185"/>
    <tableColumn name="Column9167" id="9186"/>
    <tableColumn name="Column9168" id="9187"/>
    <tableColumn name="Column9169" id="9188"/>
    <tableColumn name="Column9170" id="9189"/>
    <tableColumn name="Column9171" id="9190"/>
    <tableColumn name="Column9172" id="9191"/>
    <tableColumn name="Column9173" id="9192"/>
    <tableColumn name="Column9174" id="9193"/>
    <tableColumn name="Column9175" id="9194"/>
    <tableColumn name="Column9176" id="9195"/>
    <tableColumn name="Column9177" id="9196"/>
    <tableColumn name="Column9178" id="9197"/>
    <tableColumn name="Column9179" id="9198"/>
    <tableColumn name="Column9180" id="9199"/>
    <tableColumn name="Column9181" id="9200"/>
    <tableColumn name="Column9182" id="9201"/>
    <tableColumn name="Column9183" id="9202"/>
    <tableColumn name="Column9184" id="9203"/>
    <tableColumn name="Column9185" id="9204"/>
    <tableColumn name="Column9186" id="9205"/>
    <tableColumn name="Column9187" id="9206"/>
    <tableColumn name="Column9188" id="9207"/>
    <tableColumn name="Column9189" id="9208"/>
    <tableColumn name="Column9190" id="9209"/>
    <tableColumn name="Column9191" id="9210"/>
    <tableColumn name="Column9192" id="9211"/>
    <tableColumn name="Column9193" id="9212"/>
    <tableColumn name="Column9194" id="9213"/>
    <tableColumn name="Column9195" id="9214"/>
    <tableColumn name="Column9196" id="9215"/>
    <tableColumn name="Column9197" id="9216"/>
    <tableColumn name="Column9198" id="9217"/>
    <tableColumn name="Column9199" id="9218"/>
    <tableColumn name="Column9200" id="9219"/>
    <tableColumn name="Column9201" id="9220"/>
    <tableColumn name="Column9202" id="9221"/>
    <tableColumn name="Column9203" id="9222"/>
    <tableColumn name="Column9204" id="9223"/>
    <tableColumn name="Column9205" id="9224"/>
    <tableColumn name="Column9206" id="9225"/>
    <tableColumn name="Column9207" id="9226"/>
    <tableColumn name="Column9208" id="9227"/>
    <tableColumn name="Column9209" id="9228"/>
    <tableColumn name="Column9210" id="9229"/>
    <tableColumn name="Column9211" id="9230"/>
    <tableColumn name="Column9212" id="9231"/>
    <tableColumn name="Column9213" id="9232"/>
    <tableColumn name="Column9214" id="9233"/>
    <tableColumn name="Column9215" id="9234"/>
    <tableColumn name="Column9216" id="9235"/>
    <tableColumn name="Column9217" id="9236"/>
    <tableColumn name="Column9218" id="9237"/>
    <tableColumn name="Column9219" id="9238"/>
    <tableColumn name="Column9220" id="9239"/>
    <tableColumn name="Column9221" id="9240"/>
    <tableColumn name="Column9222" id="9241"/>
    <tableColumn name="Column9223" id="9242"/>
    <tableColumn name="Column9224" id="9243"/>
    <tableColumn name="Column9225" id="9244"/>
    <tableColumn name="Column9226" id="9245"/>
    <tableColumn name="Column9227" id="9246"/>
    <tableColumn name="Column9228" id="9247"/>
    <tableColumn name="Column9229" id="9248"/>
    <tableColumn name="Column9230" id="9249"/>
    <tableColumn name="Column9231" id="9250"/>
    <tableColumn name="Column9232" id="9251"/>
    <tableColumn name="Column9233" id="9252"/>
    <tableColumn name="Column9234" id="9253"/>
    <tableColumn name="Column9235" id="9254"/>
    <tableColumn name="Column9236" id="9255"/>
    <tableColumn name="Column9237" id="9256"/>
    <tableColumn name="Column9238" id="9257"/>
    <tableColumn name="Column9239" id="9258"/>
    <tableColumn name="Column9240" id="9259"/>
    <tableColumn name="Column9241" id="9260"/>
    <tableColumn name="Column9242" id="9261"/>
    <tableColumn name="Column9243" id="9262"/>
    <tableColumn name="Column9244" id="9263"/>
    <tableColumn name="Column9245" id="9264"/>
    <tableColumn name="Column9246" id="9265"/>
    <tableColumn name="Column9247" id="9266"/>
    <tableColumn name="Column9248" id="9267"/>
    <tableColumn name="Column9249" id="9268"/>
    <tableColumn name="Column9250" id="9269"/>
    <tableColumn name="Column9251" id="9270"/>
    <tableColumn name="Column9252" id="9271"/>
    <tableColumn name="Column9253" id="9272"/>
    <tableColumn name="Column9254" id="9273"/>
    <tableColumn name="Column9255" id="9274"/>
    <tableColumn name="Column9256" id="9275"/>
    <tableColumn name="Column9257" id="9276"/>
    <tableColumn name="Column9258" id="9277"/>
    <tableColumn name="Column9259" id="9278"/>
    <tableColumn name="Column9260" id="9279"/>
    <tableColumn name="Column9261" id="9280"/>
    <tableColumn name="Column9262" id="9281"/>
    <tableColumn name="Column9263" id="9282"/>
    <tableColumn name="Column9264" id="9283"/>
    <tableColumn name="Column9265" id="9284"/>
    <tableColumn name="Column9266" id="9285"/>
    <tableColumn name="Column9267" id="9286"/>
    <tableColumn name="Column9268" id="9287"/>
    <tableColumn name="Column9269" id="9288"/>
    <tableColumn name="Column9270" id="9289"/>
    <tableColumn name="Column9271" id="9290"/>
    <tableColumn name="Column9272" id="9291"/>
    <tableColumn name="Column9273" id="9292"/>
    <tableColumn name="Column9274" id="9293"/>
    <tableColumn name="Column9275" id="9294"/>
    <tableColumn name="Column9276" id="9295"/>
    <tableColumn name="Column9277" id="9296"/>
    <tableColumn name="Column9278" id="9297"/>
    <tableColumn name="Column9279" id="9298"/>
    <tableColumn name="Column9280" id="9299"/>
    <tableColumn name="Column9281" id="9300"/>
    <tableColumn name="Column9282" id="9301"/>
    <tableColumn name="Column9283" id="9302"/>
    <tableColumn name="Column9284" id="9303"/>
    <tableColumn name="Column9285" id="9304"/>
    <tableColumn name="Column9286" id="9305"/>
    <tableColumn name="Column9287" id="9306"/>
    <tableColumn name="Column9288" id="9307"/>
    <tableColumn name="Column9289" id="9308"/>
    <tableColumn name="Column9290" id="9309"/>
    <tableColumn name="Column9291" id="9310"/>
    <tableColumn name="Column9292" id="9311"/>
    <tableColumn name="Column9293" id="9312"/>
    <tableColumn name="Column9294" id="9313"/>
    <tableColumn name="Column9295" id="9314"/>
    <tableColumn name="Column9296" id="9315"/>
    <tableColumn name="Column9297" id="9316"/>
    <tableColumn name="Column9298" id="9317"/>
    <tableColumn name="Column9299" id="9318"/>
    <tableColumn name="Column9300" id="9319"/>
    <tableColumn name="Column9301" id="9320"/>
    <tableColumn name="Column9302" id="9321"/>
    <tableColumn name="Column9303" id="9322"/>
    <tableColumn name="Column9304" id="9323"/>
    <tableColumn name="Column9305" id="9324"/>
    <tableColumn name="Column9306" id="9325"/>
    <tableColumn name="Column9307" id="9326"/>
    <tableColumn name="Column9308" id="9327"/>
    <tableColumn name="Column9309" id="9328"/>
    <tableColumn name="Column9310" id="9329"/>
    <tableColumn name="Column9311" id="9330"/>
    <tableColumn name="Column9312" id="9331"/>
    <tableColumn name="Column9313" id="9332"/>
    <tableColumn name="Column9314" id="9333"/>
    <tableColumn name="Column9315" id="9334"/>
    <tableColumn name="Column9316" id="9335"/>
    <tableColumn name="Column9317" id="9336"/>
    <tableColumn name="Column9318" id="9337"/>
    <tableColumn name="Column9319" id="9338"/>
    <tableColumn name="Column9320" id="9339"/>
    <tableColumn name="Column9321" id="9340"/>
    <tableColumn name="Column9322" id="9341"/>
    <tableColumn name="Column9323" id="9342"/>
    <tableColumn name="Column9324" id="9343"/>
    <tableColumn name="Column9325" id="9344"/>
    <tableColumn name="Column9326" id="9345"/>
    <tableColumn name="Column9327" id="9346"/>
    <tableColumn name="Column9328" id="9347"/>
    <tableColumn name="Column9329" id="9348"/>
    <tableColumn name="Column9330" id="9349"/>
    <tableColumn name="Column9331" id="9350"/>
    <tableColumn name="Column9332" id="9351"/>
    <tableColumn name="Column9333" id="9352"/>
    <tableColumn name="Column9334" id="9353"/>
    <tableColumn name="Column9335" id="9354"/>
    <tableColumn name="Column9336" id="9355"/>
    <tableColumn name="Column9337" id="9356"/>
    <tableColumn name="Column9338" id="9357"/>
    <tableColumn name="Column9339" id="9358"/>
    <tableColumn name="Column9340" id="9359"/>
    <tableColumn name="Column9341" id="9360"/>
    <tableColumn name="Column9342" id="9361"/>
    <tableColumn name="Column9343" id="9362"/>
    <tableColumn name="Column9344" id="9363"/>
    <tableColumn name="Column9345" id="9364"/>
    <tableColumn name="Column9346" id="9365"/>
    <tableColumn name="Column9347" id="9366"/>
    <tableColumn name="Column9348" id="9367"/>
    <tableColumn name="Column9349" id="9368"/>
    <tableColumn name="Column9350" id="9369"/>
    <tableColumn name="Column9351" id="9370"/>
    <tableColumn name="Column9352" id="9371"/>
    <tableColumn name="Column9353" id="9372"/>
    <tableColumn name="Column9354" id="9373"/>
    <tableColumn name="Column9355" id="9374"/>
    <tableColumn name="Column9356" id="9375"/>
    <tableColumn name="Column9357" id="9376"/>
    <tableColumn name="Column9358" id="9377"/>
    <tableColumn name="Column9359" id="9378"/>
    <tableColumn name="Column9360" id="9379"/>
    <tableColumn name="Column9361" id="9380"/>
    <tableColumn name="Column9362" id="9381"/>
    <tableColumn name="Column9363" id="9382"/>
    <tableColumn name="Column9364" id="9383"/>
    <tableColumn name="Column9365" id="9384"/>
    <tableColumn name="Column9366" id="9385"/>
    <tableColumn name="Column9367" id="9386"/>
    <tableColumn name="Column9368" id="9387"/>
    <tableColumn name="Column9369" id="9388"/>
    <tableColumn name="Column9370" id="9389"/>
    <tableColumn name="Column9371" id="9390"/>
    <tableColumn name="Column9372" id="9391"/>
    <tableColumn name="Column9373" id="9392"/>
    <tableColumn name="Column9374" id="9393"/>
    <tableColumn name="Column9375" id="9394"/>
    <tableColumn name="Column9376" id="9395"/>
    <tableColumn name="Column9377" id="9396"/>
    <tableColumn name="Column9378" id="9397"/>
    <tableColumn name="Column9379" id="9398"/>
    <tableColumn name="Column9380" id="9399"/>
    <tableColumn name="Column9381" id="9400"/>
    <tableColumn name="Column9382" id="9401"/>
    <tableColumn name="Column9383" id="9402"/>
    <tableColumn name="Column9384" id="9403"/>
    <tableColumn name="Column9385" id="9404"/>
    <tableColumn name="Column9386" id="9405"/>
    <tableColumn name="Column9387" id="9406"/>
    <tableColumn name="Column9388" id="9407"/>
    <tableColumn name="Column9389" id="9408"/>
    <tableColumn name="Column9390" id="9409"/>
    <tableColumn name="Column9391" id="9410"/>
    <tableColumn name="Column9392" id="9411"/>
    <tableColumn name="Column9393" id="9412"/>
    <tableColumn name="Column9394" id="9413"/>
    <tableColumn name="Column9395" id="9414"/>
    <tableColumn name="Column9396" id="9415"/>
    <tableColumn name="Column9397" id="9416"/>
    <tableColumn name="Column9398" id="9417"/>
    <tableColumn name="Column9399" id="9418"/>
    <tableColumn name="Column9400" id="9419"/>
    <tableColumn name="Column9401" id="9420"/>
    <tableColumn name="Column9402" id="9421"/>
    <tableColumn name="Column9403" id="9422"/>
    <tableColumn name="Column9404" id="9423"/>
    <tableColumn name="Column9405" id="9424"/>
    <tableColumn name="Column9406" id="9425"/>
    <tableColumn name="Column9407" id="9426"/>
    <tableColumn name="Column9408" id="9427"/>
    <tableColumn name="Column9409" id="9428"/>
    <tableColumn name="Column9410" id="9429"/>
    <tableColumn name="Column9411" id="9430"/>
    <tableColumn name="Column9412" id="9431"/>
    <tableColumn name="Column9413" id="9432"/>
    <tableColumn name="Column9414" id="9433"/>
    <tableColumn name="Column9415" id="9434"/>
    <tableColumn name="Column9416" id="9435"/>
    <tableColumn name="Column9417" id="9436"/>
    <tableColumn name="Column9418" id="9437"/>
    <tableColumn name="Column9419" id="9438"/>
    <tableColumn name="Column9420" id="9439"/>
    <tableColumn name="Column9421" id="9440"/>
    <tableColumn name="Column9422" id="9441"/>
    <tableColumn name="Column9423" id="9442"/>
    <tableColumn name="Column9424" id="9443"/>
    <tableColumn name="Column9425" id="9444"/>
    <tableColumn name="Column9426" id="9445"/>
    <tableColumn name="Column9427" id="9446"/>
    <tableColumn name="Column9428" id="9447"/>
    <tableColumn name="Column9429" id="9448"/>
    <tableColumn name="Column9430" id="9449"/>
    <tableColumn name="Column9431" id="9450"/>
    <tableColumn name="Column9432" id="9451"/>
    <tableColumn name="Column9433" id="9452"/>
    <tableColumn name="Column9434" id="9453"/>
    <tableColumn name="Column9435" id="9454"/>
    <tableColumn name="Column9436" id="9455"/>
    <tableColumn name="Column9437" id="9456"/>
    <tableColumn name="Column9438" id="9457"/>
    <tableColumn name="Column9439" id="9458"/>
    <tableColumn name="Column9440" id="9459"/>
    <tableColumn name="Column9441" id="9460"/>
    <tableColumn name="Column9442" id="9461"/>
    <tableColumn name="Column9443" id="9462"/>
    <tableColumn name="Column9444" id="9463"/>
    <tableColumn name="Column9445" id="9464"/>
    <tableColumn name="Column9446" id="9465"/>
    <tableColumn name="Column9447" id="9466"/>
    <tableColumn name="Column9448" id="9467"/>
    <tableColumn name="Column9449" id="9468"/>
    <tableColumn name="Column9450" id="9469"/>
    <tableColumn name="Column9451" id="9470"/>
    <tableColumn name="Column9452" id="9471"/>
    <tableColumn name="Column9453" id="9472"/>
    <tableColumn name="Column9454" id="9473"/>
    <tableColumn name="Column9455" id="9474"/>
    <tableColumn name="Column9456" id="9475"/>
    <tableColumn name="Column9457" id="9476"/>
    <tableColumn name="Column9458" id="9477"/>
    <tableColumn name="Column9459" id="9478"/>
    <tableColumn name="Column9460" id="9479"/>
    <tableColumn name="Column9461" id="9480"/>
    <tableColumn name="Column9462" id="9481"/>
    <tableColumn name="Column9463" id="9482"/>
    <tableColumn name="Column9464" id="9483"/>
    <tableColumn name="Column9465" id="9484"/>
    <tableColumn name="Column9466" id="9485"/>
    <tableColumn name="Column9467" id="9486"/>
    <tableColumn name="Column9468" id="9487"/>
    <tableColumn name="Column9469" id="9488"/>
    <tableColumn name="Column9470" id="9489"/>
    <tableColumn name="Column9471" id="9490"/>
    <tableColumn name="Column9472" id="9491"/>
    <tableColumn name="Column9473" id="9492"/>
    <tableColumn name="Column9474" id="9493"/>
    <tableColumn name="Column9475" id="9494"/>
    <tableColumn name="Column9476" id="9495"/>
    <tableColumn name="Column9477" id="9496"/>
    <tableColumn name="Column9478" id="9497"/>
    <tableColumn name="Column9479" id="9498"/>
    <tableColumn name="Column9480" id="9499"/>
    <tableColumn name="Column9481" id="9500"/>
    <tableColumn name="Column9482" id="9501"/>
    <tableColumn name="Column9483" id="9502"/>
    <tableColumn name="Column9484" id="9503"/>
    <tableColumn name="Column9485" id="9504"/>
    <tableColumn name="Column9486" id="9505"/>
    <tableColumn name="Column9487" id="9506"/>
    <tableColumn name="Column9488" id="9507"/>
    <tableColumn name="Column9489" id="9508"/>
    <tableColumn name="Column9490" id="9509"/>
    <tableColumn name="Column9491" id="9510"/>
    <tableColumn name="Column9492" id="9511"/>
    <tableColumn name="Column9493" id="9512"/>
    <tableColumn name="Column9494" id="9513"/>
    <tableColumn name="Column9495" id="9514"/>
    <tableColumn name="Column9496" id="9515"/>
    <tableColumn name="Column9497" id="9516"/>
    <tableColumn name="Column9498" id="9517"/>
    <tableColumn name="Column9499" id="9518"/>
    <tableColumn name="Column9500" id="9519"/>
    <tableColumn name="Column9501" id="9520"/>
    <tableColumn name="Column9502" id="9521"/>
    <tableColumn name="Column9503" id="9522"/>
    <tableColumn name="Column9504" id="9523"/>
    <tableColumn name="Column9505" id="9524"/>
    <tableColumn name="Column9506" id="9525"/>
    <tableColumn name="Column9507" id="9526"/>
    <tableColumn name="Column9508" id="9527"/>
    <tableColumn name="Column9509" id="9528"/>
    <tableColumn name="Column9510" id="9529"/>
    <tableColumn name="Column9511" id="9530"/>
    <tableColumn name="Column9512" id="9531"/>
    <tableColumn name="Column9513" id="9532"/>
    <tableColumn name="Column9514" id="9533"/>
    <tableColumn name="Column9515" id="9534"/>
    <tableColumn name="Column9516" id="9535"/>
    <tableColumn name="Column9517" id="9536"/>
    <tableColumn name="Column9518" id="9537"/>
    <tableColumn name="Column9519" id="9538"/>
    <tableColumn name="Column9520" id="9539"/>
    <tableColumn name="Column9521" id="9540"/>
    <tableColumn name="Column9522" id="9541"/>
    <tableColumn name="Column9523" id="9542"/>
    <tableColumn name="Column9524" id="9543"/>
    <tableColumn name="Column9525" id="9544"/>
    <tableColumn name="Column9526" id="9545"/>
    <tableColumn name="Column9527" id="9546"/>
    <tableColumn name="Column9528" id="9547"/>
    <tableColumn name="Column9529" id="9548"/>
    <tableColumn name="Column9530" id="9549"/>
    <tableColumn name="Column9531" id="9550"/>
    <tableColumn name="Column9532" id="9551"/>
    <tableColumn name="Column9533" id="9552"/>
    <tableColumn name="Column9534" id="9553"/>
    <tableColumn name="Column9535" id="9554"/>
    <tableColumn name="Column9536" id="9555"/>
    <tableColumn name="Column9537" id="9556"/>
    <tableColumn name="Column9538" id="9557"/>
    <tableColumn name="Column9539" id="9558"/>
    <tableColumn name="Column9540" id="9559"/>
    <tableColumn name="Column9541" id="9560"/>
    <tableColumn name="Column9542" id="9561"/>
    <tableColumn name="Column9543" id="9562"/>
    <tableColumn name="Column9544" id="9563"/>
    <tableColumn name="Column9545" id="9564"/>
    <tableColumn name="Column9546" id="9565"/>
    <tableColumn name="Column9547" id="9566"/>
    <tableColumn name="Column9548" id="9567"/>
    <tableColumn name="Column9549" id="9568"/>
    <tableColumn name="Column9550" id="9569"/>
    <tableColumn name="Column9551" id="9570"/>
    <tableColumn name="Column9552" id="9571"/>
    <tableColumn name="Column9553" id="9572"/>
    <tableColumn name="Column9554" id="9573"/>
    <tableColumn name="Column9555" id="9574"/>
    <tableColumn name="Column9556" id="9575"/>
    <tableColumn name="Column9557" id="9576"/>
    <tableColumn name="Column9558" id="9577"/>
    <tableColumn name="Column9559" id="9578"/>
    <tableColumn name="Column9560" id="9579"/>
    <tableColumn name="Column9561" id="9580"/>
    <tableColumn name="Column9562" id="9581"/>
    <tableColumn name="Column9563" id="9582"/>
    <tableColumn name="Column9564" id="9583"/>
    <tableColumn name="Column9565" id="9584"/>
    <tableColumn name="Column9566" id="9585"/>
    <tableColumn name="Column9567" id="9586"/>
    <tableColumn name="Column9568" id="9587"/>
    <tableColumn name="Column9569" id="9588"/>
    <tableColumn name="Column9570" id="9589"/>
    <tableColumn name="Column9571" id="9590"/>
    <tableColumn name="Column9572" id="9591"/>
    <tableColumn name="Column9573" id="9592"/>
    <tableColumn name="Column9574" id="9593"/>
    <tableColumn name="Column9575" id="9594"/>
    <tableColumn name="Column9576" id="9595"/>
    <tableColumn name="Column9577" id="9596"/>
    <tableColumn name="Column9578" id="9597"/>
    <tableColumn name="Column9579" id="9598"/>
    <tableColumn name="Column9580" id="9599"/>
    <tableColumn name="Column9581" id="9600"/>
    <tableColumn name="Column9582" id="9601"/>
    <tableColumn name="Column9583" id="9602"/>
    <tableColumn name="Column9584" id="9603"/>
    <tableColumn name="Column9585" id="9604"/>
    <tableColumn name="Column9586" id="9605"/>
    <tableColumn name="Column9587" id="9606"/>
    <tableColumn name="Column9588" id="9607"/>
    <tableColumn name="Column9589" id="9608"/>
    <tableColumn name="Column9590" id="9609"/>
    <tableColumn name="Column9591" id="9610"/>
    <tableColumn name="Column9592" id="9611"/>
    <tableColumn name="Column9593" id="9612"/>
    <tableColumn name="Column9594" id="9613"/>
    <tableColumn name="Column9595" id="9614"/>
    <tableColumn name="Column9596" id="9615"/>
    <tableColumn name="Column9597" id="9616"/>
    <tableColumn name="Column9598" id="9617"/>
    <tableColumn name="Column9599" id="9618"/>
    <tableColumn name="Column9600" id="9619"/>
    <tableColumn name="Column9601" id="9620"/>
    <tableColumn name="Column9602" id="9621"/>
    <tableColumn name="Column9603" id="9622"/>
    <tableColumn name="Column9604" id="9623"/>
    <tableColumn name="Column9605" id="9624"/>
    <tableColumn name="Column9606" id="9625"/>
    <tableColumn name="Column9607" id="9626"/>
    <tableColumn name="Column9608" id="9627"/>
    <tableColumn name="Column9609" id="9628"/>
    <tableColumn name="Column9610" id="9629"/>
    <tableColumn name="Column9611" id="9630"/>
    <tableColumn name="Column9612" id="9631"/>
    <tableColumn name="Column9613" id="9632"/>
    <tableColumn name="Column9614" id="9633"/>
    <tableColumn name="Column9615" id="9634"/>
    <tableColumn name="Column9616" id="9635"/>
    <tableColumn name="Column9617" id="9636"/>
    <tableColumn name="Column9618" id="9637"/>
    <tableColumn name="Column9619" id="9638"/>
    <tableColumn name="Column9620" id="9639"/>
    <tableColumn name="Column9621" id="9640"/>
    <tableColumn name="Column9622" id="9641"/>
    <tableColumn name="Column9623" id="9642"/>
    <tableColumn name="Column9624" id="9643"/>
    <tableColumn name="Column9625" id="9644"/>
    <tableColumn name="Column9626" id="9645"/>
    <tableColumn name="Column9627" id="9646"/>
    <tableColumn name="Column9628" id="9647"/>
    <tableColumn name="Column9629" id="9648"/>
    <tableColumn name="Column9630" id="9649"/>
    <tableColumn name="Column9631" id="9650"/>
    <tableColumn name="Column9632" id="9651"/>
    <tableColumn name="Column9633" id="9652"/>
    <tableColumn name="Column9634" id="9653"/>
    <tableColumn name="Column9635" id="9654"/>
    <tableColumn name="Column9636" id="9655"/>
    <tableColumn name="Column9637" id="9656"/>
    <tableColumn name="Column9638" id="9657"/>
    <tableColumn name="Column9639" id="9658"/>
    <tableColumn name="Column9640" id="9659"/>
    <tableColumn name="Column9641" id="9660"/>
    <tableColumn name="Column9642" id="9661"/>
    <tableColumn name="Column9643" id="9662"/>
    <tableColumn name="Column9644" id="9663"/>
    <tableColumn name="Column9645" id="9664"/>
    <tableColumn name="Column9646" id="9665"/>
    <tableColumn name="Column9647" id="9666"/>
    <tableColumn name="Column9648" id="9667"/>
    <tableColumn name="Column9649" id="9668"/>
    <tableColumn name="Column9650" id="9669"/>
    <tableColumn name="Column9651" id="9670"/>
    <tableColumn name="Column9652" id="9671"/>
    <tableColumn name="Column9653" id="9672"/>
    <tableColumn name="Column9654" id="9673"/>
    <tableColumn name="Column9655" id="9674"/>
    <tableColumn name="Column9656" id="9675"/>
    <tableColumn name="Column9657" id="9676"/>
    <tableColumn name="Column9658" id="9677"/>
    <tableColumn name="Column9659" id="9678"/>
    <tableColumn name="Column9660" id="9679"/>
    <tableColumn name="Column9661" id="9680"/>
    <tableColumn name="Column9662" id="9681"/>
    <tableColumn name="Column9663" id="9682"/>
    <tableColumn name="Column9664" id="9683"/>
    <tableColumn name="Column9665" id="9684"/>
    <tableColumn name="Column9666" id="9685"/>
    <tableColumn name="Column9667" id="9686"/>
    <tableColumn name="Column9668" id="9687"/>
    <tableColumn name="Column9669" id="9688"/>
    <tableColumn name="Column9670" id="9689"/>
    <tableColumn name="Column9671" id="9690"/>
    <tableColumn name="Column9672" id="9691"/>
    <tableColumn name="Column9673" id="9692"/>
    <tableColumn name="Column9674" id="9693"/>
    <tableColumn name="Column9675" id="9694"/>
    <tableColumn name="Column9676" id="9695"/>
    <tableColumn name="Column9677" id="9696"/>
    <tableColumn name="Column9678" id="9697"/>
    <tableColumn name="Column9679" id="9698"/>
    <tableColumn name="Column9680" id="9699"/>
    <tableColumn name="Column9681" id="9700"/>
    <tableColumn name="Column9682" id="9701"/>
    <tableColumn name="Column9683" id="9702"/>
    <tableColumn name="Column9684" id="9703"/>
    <tableColumn name="Column9685" id="9704"/>
    <tableColumn name="Column9686" id="9705"/>
    <tableColumn name="Column9687" id="9706"/>
    <tableColumn name="Column9688" id="9707"/>
    <tableColumn name="Column9689" id="9708"/>
    <tableColumn name="Column9690" id="9709"/>
    <tableColumn name="Column9691" id="9710"/>
    <tableColumn name="Column9692" id="9711"/>
    <tableColumn name="Column9693" id="9712"/>
    <tableColumn name="Column9694" id="9713"/>
    <tableColumn name="Column9695" id="9714"/>
    <tableColumn name="Column9696" id="9715"/>
    <tableColumn name="Column9697" id="9716"/>
    <tableColumn name="Column9698" id="9717"/>
    <tableColumn name="Column9699" id="9718"/>
    <tableColumn name="Column9700" id="9719"/>
    <tableColumn name="Column9701" id="9720"/>
    <tableColumn name="Column9702" id="9721"/>
    <tableColumn name="Column9703" id="9722"/>
    <tableColumn name="Column9704" id="9723"/>
    <tableColumn name="Column9705" id="9724"/>
    <tableColumn name="Column9706" id="9725"/>
    <tableColumn name="Column9707" id="9726"/>
    <tableColumn name="Column9708" id="9727"/>
    <tableColumn name="Column9709" id="9728"/>
    <tableColumn name="Column9710" id="9729"/>
    <tableColumn name="Column9711" id="9730"/>
    <tableColumn name="Column9712" id="9731"/>
    <tableColumn name="Column9713" id="9732"/>
    <tableColumn name="Column9714" id="9733"/>
    <tableColumn name="Column9715" id="9734"/>
    <tableColumn name="Column9716" id="9735"/>
    <tableColumn name="Column9717" id="9736"/>
    <tableColumn name="Column9718" id="9737"/>
    <tableColumn name="Column9719" id="9738"/>
    <tableColumn name="Column9720" id="9739"/>
    <tableColumn name="Column9721" id="9740"/>
    <tableColumn name="Column9722" id="9741"/>
    <tableColumn name="Column9723" id="9742"/>
    <tableColumn name="Column9724" id="9743"/>
    <tableColumn name="Column9725" id="9744"/>
    <tableColumn name="Column9726" id="9745"/>
    <tableColumn name="Column9727" id="9746"/>
    <tableColumn name="Column9728" id="9747"/>
    <tableColumn name="Column9729" id="9748"/>
    <tableColumn name="Column9730" id="9749"/>
    <tableColumn name="Column9731" id="9750"/>
    <tableColumn name="Column9732" id="9751"/>
    <tableColumn name="Column9733" id="9752"/>
    <tableColumn name="Column9734" id="9753"/>
    <tableColumn name="Column9735" id="9754"/>
    <tableColumn name="Column9736" id="9755"/>
    <tableColumn name="Column9737" id="9756"/>
    <tableColumn name="Column9738" id="9757"/>
    <tableColumn name="Column9739" id="9758"/>
    <tableColumn name="Column9740" id="9759"/>
    <tableColumn name="Column9741" id="9760"/>
    <tableColumn name="Column9742" id="9761"/>
    <tableColumn name="Column9743" id="9762"/>
    <tableColumn name="Column9744" id="9763"/>
    <tableColumn name="Column9745" id="9764"/>
    <tableColumn name="Column9746" id="9765"/>
    <tableColumn name="Column9747" id="9766"/>
    <tableColumn name="Column9748" id="9767"/>
    <tableColumn name="Column9749" id="9768"/>
    <tableColumn name="Column9750" id="9769"/>
    <tableColumn name="Column9751" id="9770"/>
    <tableColumn name="Column9752" id="9771"/>
    <tableColumn name="Column9753" id="9772"/>
    <tableColumn name="Column9754" id="9773"/>
    <tableColumn name="Column9755" id="9774"/>
    <tableColumn name="Column9756" id="9775"/>
    <tableColumn name="Column9757" id="9776"/>
    <tableColumn name="Column9758" id="9777"/>
    <tableColumn name="Column9759" id="9778"/>
    <tableColumn name="Column9760" id="9779"/>
    <tableColumn name="Column9761" id="9780"/>
    <tableColumn name="Column9762" id="9781"/>
    <tableColumn name="Column9763" id="9782"/>
    <tableColumn name="Column9764" id="9783"/>
    <tableColumn name="Column9765" id="9784"/>
    <tableColumn name="Column9766" id="9785"/>
    <tableColumn name="Column9767" id="9786"/>
    <tableColumn name="Column9768" id="9787"/>
    <tableColumn name="Column9769" id="9788"/>
    <tableColumn name="Column9770" id="9789"/>
    <tableColumn name="Column9771" id="9790"/>
    <tableColumn name="Column9772" id="9791"/>
    <tableColumn name="Column9773" id="9792"/>
    <tableColumn name="Column9774" id="9793"/>
    <tableColumn name="Column9775" id="9794"/>
    <tableColumn name="Column9776" id="9795"/>
    <tableColumn name="Column9777" id="9796"/>
    <tableColumn name="Column9778" id="9797"/>
    <tableColumn name="Column9779" id="9798"/>
    <tableColumn name="Column9780" id="9799"/>
    <tableColumn name="Column9781" id="9800"/>
    <tableColumn name="Column9782" id="9801"/>
    <tableColumn name="Column9783" id="9802"/>
    <tableColumn name="Column9784" id="9803"/>
    <tableColumn name="Column9785" id="9804"/>
    <tableColumn name="Column9786" id="9805"/>
    <tableColumn name="Column9787" id="9806"/>
    <tableColumn name="Column9788" id="9807"/>
    <tableColumn name="Column9789" id="9808"/>
    <tableColumn name="Column9790" id="9809"/>
    <tableColumn name="Column9791" id="9810"/>
    <tableColumn name="Column9792" id="9811"/>
    <tableColumn name="Column9793" id="9812"/>
    <tableColumn name="Column9794" id="9813"/>
    <tableColumn name="Column9795" id="9814"/>
    <tableColumn name="Column9796" id="9815"/>
    <tableColumn name="Column9797" id="9816"/>
    <tableColumn name="Column9798" id="9817"/>
    <tableColumn name="Column9799" id="9818"/>
    <tableColumn name="Column9800" id="9819"/>
    <tableColumn name="Column9801" id="9820"/>
    <tableColumn name="Column9802" id="9821"/>
    <tableColumn name="Column9803" id="9822"/>
    <tableColumn name="Column9804" id="9823"/>
    <tableColumn name="Column9805" id="9824"/>
    <tableColumn name="Column9806" id="9825"/>
    <tableColumn name="Column9807" id="9826"/>
    <tableColumn name="Column9808" id="9827"/>
    <tableColumn name="Column9809" id="9828"/>
    <tableColumn name="Column9810" id="9829"/>
    <tableColumn name="Column9811" id="9830"/>
    <tableColumn name="Column9812" id="9831"/>
    <tableColumn name="Column9813" id="9832"/>
    <tableColumn name="Column9814" id="9833"/>
    <tableColumn name="Column9815" id="9834"/>
    <tableColumn name="Column9816" id="9835"/>
    <tableColumn name="Column9817" id="9836"/>
    <tableColumn name="Column9818" id="9837"/>
    <tableColumn name="Column9819" id="9838"/>
    <tableColumn name="Column9820" id="9839"/>
    <tableColumn name="Column9821" id="9840"/>
    <tableColumn name="Column9822" id="9841"/>
    <tableColumn name="Column9823" id="9842"/>
    <tableColumn name="Column9824" id="9843"/>
    <tableColumn name="Column9825" id="9844"/>
    <tableColumn name="Column9826" id="9845"/>
    <tableColumn name="Column9827" id="9846"/>
    <tableColumn name="Column9828" id="9847"/>
    <tableColumn name="Column9829" id="9848"/>
    <tableColumn name="Column9830" id="9849"/>
    <tableColumn name="Column9831" id="9850"/>
    <tableColumn name="Column9832" id="9851"/>
    <tableColumn name="Column9833" id="9852"/>
    <tableColumn name="Column9834" id="9853"/>
    <tableColumn name="Column9835" id="9854"/>
    <tableColumn name="Column9836" id="9855"/>
    <tableColumn name="Column9837" id="9856"/>
    <tableColumn name="Column9838" id="9857"/>
    <tableColumn name="Column9839" id="9858"/>
    <tableColumn name="Column9840" id="9859"/>
    <tableColumn name="Column9841" id="9860"/>
    <tableColumn name="Column9842" id="9861"/>
    <tableColumn name="Column9843" id="9862"/>
    <tableColumn name="Column9844" id="9863"/>
    <tableColumn name="Column9845" id="9864"/>
    <tableColumn name="Column9846" id="9865"/>
    <tableColumn name="Column9847" id="9866"/>
    <tableColumn name="Column9848" id="9867"/>
    <tableColumn name="Column9849" id="9868"/>
    <tableColumn name="Column9850" id="9869"/>
    <tableColumn name="Column9851" id="9870"/>
    <tableColumn name="Column9852" id="9871"/>
    <tableColumn name="Column9853" id="9872"/>
    <tableColumn name="Column9854" id="9873"/>
    <tableColumn name="Column9855" id="9874"/>
    <tableColumn name="Column9856" id="9875"/>
    <tableColumn name="Column9857" id="9876"/>
    <tableColumn name="Column9858" id="9877"/>
    <tableColumn name="Column9859" id="9878"/>
    <tableColumn name="Column9860" id="9879"/>
    <tableColumn name="Column9861" id="9880"/>
    <tableColumn name="Column9862" id="9881"/>
    <tableColumn name="Column9863" id="9882"/>
    <tableColumn name="Column9864" id="9883"/>
    <tableColumn name="Column9865" id="9884"/>
    <tableColumn name="Column9866" id="9885"/>
    <tableColumn name="Column9867" id="9886"/>
    <tableColumn name="Column9868" id="9887"/>
    <tableColumn name="Column9869" id="9888"/>
    <tableColumn name="Column9870" id="9889"/>
    <tableColumn name="Column9871" id="9890"/>
    <tableColumn name="Column9872" id="9891"/>
    <tableColumn name="Column9873" id="9892"/>
    <tableColumn name="Column9874" id="9893"/>
    <tableColumn name="Column9875" id="9894"/>
    <tableColumn name="Column9876" id="9895"/>
    <tableColumn name="Column9877" id="9896"/>
    <tableColumn name="Column9878" id="9897"/>
    <tableColumn name="Column9879" id="9898"/>
    <tableColumn name="Column9880" id="9899"/>
    <tableColumn name="Column9881" id="9900"/>
    <tableColumn name="Column9882" id="9901"/>
    <tableColumn name="Column9883" id="9902"/>
    <tableColumn name="Column9884" id="9903"/>
    <tableColumn name="Column9885" id="9904"/>
    <tableColumn name="Column9886" id="9905"/>
    <tableColumn name="Column9887" id="9906"/>
    <tableColumn name="Column9888" id="9907"/>
    <tableColumn name="Column9889" id="9908"/>
    <tableColumn name="Column9890" id="9909"/>
    <tableColumn name="Column9891" id="9910"/>
    <tableColumn name="Column9892" id="9911"/>
    <tableColumn name="Column9893" id="9912"/>
    <tableColumn name="Column9894" id="9913"/>
    <tableColumn name="Column9895" id="9914"/>
    <tableColumn name="Column9896" id="9915"/>
    <tableColumn name="Column9897" id="9916"/>
    <tableColumn name="Column9898" id="9917"/>
    <tableColumn name="Column9899" id="9918"/>
    <tableColumn name="Column9900" id="9919"/>
    <tableColumn name="Column9901" id="9920"/>
    <tableColumn name="Column9902" id="9921"/>
    <tableColumn name="Column9903" id="9922"/>
    <tableColumn name="Column9904" id="9923"/>
    <tableColumn name="Column9905" id="9924"/>
    <tableColumn name="Column9906" id="9925"/>
    <tableColumn name="Column9907" id="9926"/>
    <tableColumn name="Column9908" id="9927"/>
    <tableColumn name="Column9909" id="9928"/>
    <tableColumn name="Column9910" id="9929"/>
    <tableColumn name="Column9911" id="9930"/>
    <tableColumn name="Column9912" id="9931"/>
    <tableColumn name="Column9913" id="9932"/>
    <tableColumn name="Column9914" id="9933"/>
    <tableColumn name="Column9915" id="9934"/>
    <tableColumn name="Column9916" id="9935"/>
    <tableColumn name="Column9917" id="9936"/>
    <tableColumn name="Column9918" id="9937"/>
    <tableColumn name="Column9919" id="9938"/>
    <tableColumn name="Column9920" id="9939"/>
    <tableColumn name="Column9921" id="9940"/>
    <tableColumn name="Column9922" id="9941"/>
    <tableColumn name="Column9923" id="9942"/>
    <tableColumn name="Column9924" id="9943"/>
    <tableColumn name="Column9925" id="9944"/>
    <tableColumn name="Column9926" id="9945"/>
    <tableColumn name="Column9927" id="9946"/>
    <tableColumn name="Column9928" id="9947"/>
    <tableColumn name="Column9929" id="9948"/>
    <tableColumn name="Column9930" id="9949"/>
    <tableColumn name="Column9931" id="9950"/>
    <tableColumn name="Column9932" id="9951"/>
    <tableColumn name="Column9933" id="9952"/>
    <tableColumn name="Column9934" id="9953"/>
    <tableColumn name="Column9935" id="9954"/>
    <tableColumn name="Column9936" id="9955"/>
    <tableColumn name="Column9937" id="9956"/>
    <tableColumn name="Column9938" id="9957"/>
    <tableColumn name="Column9939" id="9958"/>
    <tableColumn name="Column9940" id="9959"/>
    <tableColumn name="Column9941" id="9960"/>
    <tableColumn name="Column9942" id="9961"/>
    <tableColumn name="Column9943" id="9962"/>
    <tableColumn name="Column9944" id="9963"/>
    <tableColumn name="Column9945" id="9964"/>
    <tableColumn name="Column9946" id="9965"/>
    <tableColumn name="Column9947" id="9966"/>
    <tableColumn name="Column9948" id="9967"/>
    <tableColumn name="Column9949" id="9968"/>
    <tableColumn name="Column9950" id="9969"/>
    <tableColumn name="Column9951" id="9970"/>
    <tableColumn name="Column9952" id="9971"/>
    <tableColumn name="Column9953" id="9972"/>
    <tableColumn name="Column9954" id="9973"/>
    <tableColumn name="Column9955" id="9974"/>
    <tableColumn name="Column9956" id="9975"/>
    <tableColumn name="Column9957" id="9976"/>
    <tableColumn name="Column9958" id="9977"/>
    <tableColumn name="Column9959" id="9978"/>
    <tableColumn name="Column9960" id="9979"/>
    <tableColumn name="Column9961" id="9980"/>
    <tableColumn name="Column9962" id="9981"/>
    <tableColumn name="Column9963" id="9982"/>
    <tableColumn name="Column9964" id="9983"/>
    <tableColumn name="Column9965" id="9984"/>
    <tableColumn name="Column9966" id="9985"/>
    <tableColumn name="Column9967" id="9986"/>
    <tableColumn name="Column9968" id="9987"/>
    <tableColumn name="Column9969" id="9988"/>
    <tableColumn name="Column9970" id="9989"/>
    <tableColumn name="Column9971" id="9990"/>
    <tableColumn name="Column9972" id="9991"/>
    <tableColumn name="Column9973" id="9992"/>
    <tableColumn name="Column9974" id="9993"/>
    <tableColumn name="Column9975" id="9994"/>
    <tableColumn name="Column9976" id="9995"/>
    <tableColumn name="Column9977" id="9996"/>
    <tableColumn name="Column9978" id="9997"/>
    <tableColumn name="Column9979" id="9998"/>
    <tableColumn name="Column9980" id="9999"/>
    <tableColumn name="Column9981" id="10000"/>
    <tableColumn name="Column9982" id="10001"/>
    <tableColumn name="Column9983" id="10002"/>
    <tableColumn name="Column9984" id="10003"/>
    <tableColumn name="Column9985" id="10004"/>
    <tableColumn name="Column9986" id="10005"/>
    <tableColumn name="Column9987" id="10006"/>
    <tableColumn name="Column9988" id="10007"/>
    <tableColumn name="Column9989" id="10008"/>
    <tableColumn name="Column9990" id="10009"/>
    <tableColumn name="Column9991" id="10010"/>
    <tableColumn name="Column9992" id="10011"/>
    <tableColumn name="Column9993" id="10012"/>
    <tableColumn name="Column9994" id="10013"/>
    <tableColumn name="Column9995" id="10014"/>
    <tableColumn name="Column9996" id="10015"/>
    <tableColumn name="Column9997" id="10016"/>
    <tableColumn name="Column9998" id="10017"/>
    <tableColumn name="Column9999" id="10018"/>
    <tableColumn name="Column10000" id="10019"/>
    <tableColumn name="Column10001" id="10020"/>
    <tableColumn name="Column10002" id="10021"/>
    <tableColumn name="Column10003" id="10022"/>
    <tableColumn name="Column10004" id="10023"/>
    <tableColumn name="Column10005" id="10024"/>
    <tableColumn name="Column10006" id="10025"/>
    <tableColumn name="Column10007" id="10026"/>
    <tableColumn name="Column10008" id="10027"/>
    <tableColumn name="Column10009" id="10028"/>
    <tableColumn name="Column10010" id="10029"/>
    <tableColumn name="Column10011" id="10030"/>
    <tableColumn name="Column10012" id="10031"/>
    <tableColumn name="Column10013" id="10032"/>
    <tableColumn name="Column10014" id="10033"/>
    <tableColumn name="Column10015" id="10034"/>
    <tableColumn name="Column10016" id="10035"/>
    <tableColumn name="Column10017" id="10036"/>
    <tableColumn name="Column10018" id="10037"/>
    <tableColumn name="Column10019" id="10038"/>
    <tableColumn name="Column10020" id="10039"/>
    <tableColumn name="Column10021" id="10040"/>
    <tableColumn name="Column10022" id="10041"/>
    <tableColumn name="Column10023" id="10042"/>
    <tableColumn name="Column10024" id="10043"/>
    <tableColumn name="Column10025" id="10044"/>
    <tableColumn name="Column10026" id="10045"/>
    <tableColumn name="Column10027" id="10046"/>
    <tableColumn name="Column10028" id="10047"/>
    <tableColumn name="Column10029" id="10048"/>
    <tableColumn name="Column10030" id="10049"/>
    <tableColumn name="Column10031" id="10050"/>
    <tableColumn name="Column10032" id="10051"/>
    <tableColumn name="Column10033" id="10052"/>
    <tableColumn name="Column10034" id="10053"/>
    <tableColumn name="Column10035" id="10054"/>
    <tableColumn name="Column10036" id="10055"/>
    <tableColumn name="Column10037" id="10056"/>
    <tableColumn name="Column10038" id="10057"/>
    <tableColumn name="Column10039" id="10058"/>
    <tableColumn name="Column10040" id="10059"/>
    <tableColumn name="Column10041" id="10060"/>
    <tableColumn name="Column10042" id="10061"/>
    <tableColumn name="Column10043" id="10062"/>
    <tableColumn name="Column10044" id="10063"/>
    <tableColumn name="Column10045" id="10064"/>
    <tableColumn name="Column10046" id="10065"/>
    <tableColumn name="Column10047" id="10066"/>
    <tableColumn name="Column10048" id="10067"/>
    <tableColumn name="Column10049" id="10068"/>
    <tableColumn name="Column10050" id="10069"/>
    <tableColumn name="Column10051" id="10070"/>
    <tableColumn name="Column10052" id="10071"/>
    <tableColumn name="Column10053" id="10072"/>
    <tableColumn name="Column10054" id="10073"/>
    <tableColumn name="Column10055" id="10074"/>
    <tableColumn name="Column10056" id="10075"/>
    <tableColumn name="Column10057" id="10076"/>
    <tableColumn name="Column10058" id="10077"/>
    <tableColumn name="Column10059" id="10078"/>
    <tableColumn name="Column10060" id="10079"/>
    <tableColumn name="Column10061" id="10080"/>
    <tableColumn name="Column10062" id="10081"/>
    <tableColumn name="Column10063" id="10082"/>
    <tableColumn name="Column10064" id="10083"/>
    <tableColumn name="Column10065" id="10084"/>
    <tableColumn name="Column10066" id="10085"/>
    <tableColumn name="Column10067" id="10086"/>
    <tableColumn name="Column10068" id="10087"/>
    <tableColumn name="Column10069" id="10088"/>
    <tableColumn name="Column10070" id="10089"/>
    <tableColumn name="Column10071" id="10090"/>
    <tableColumn name="Column10072" id="10091"/>
    <tableColumn name="Column10073" id="10092"/>
    <tableColumn name="Column10074" id="10093"/>
    <tableColumn name="Column10075" id="10094"/>
    <tableColumn name="Column10076" id="10095"/>
    <tableColumn name="Column10077" id="10096"/>
    <tableColumn name="Column10078" id="10097"/>
    <tableColumn name="Column10079" id="10098"/>
    <tableColumn name="Column10080" id="10099"/>
    <tableColumn name="Column10081" id="10100"/>
    <tableColumn name="Column10082" id="10101"/>
    <tableColumn name="Column10083" id="10102"/>
    <tableColumn name="Column10084" id="10103"/>
    <tableColumn name="Column10085" id="10104"/>
    <tableColumn name="Column10086" id="10105"/>
    <tableColumn name="Column10087" id="10106"/>
    <tableColumn name="Column10088" id="10107"/>
    <tableColumn name="Column10089" id="10108"/>
    <tableColumn name="Column10090" id="10109"/>
    <tableColumn name="Column10091" id="10110"/>
    <tableColumn name="Column10092" id="10111"/>
    <tableColumn name="Column10093" id="10112"/>
    <tableColumn name="Column10094" id="10113"/>
    <tableColumn name="Column10095" id="10114"/>
    <tableColumn name="Column10096" id="10115"/>
    <tableColumn name="Column10097" id="10116"/>
    <tableColumn name="Column10098" id="10117"/>
    <tableColumn name="Column10099" id="10118"/>
    <tableColumn name="Column10100" id="10119"/>
    <tableColumn name="Column10101" id="10120"/>
    <tableColumn name="Column10102" id="10121"/>
    <tableColumn name="Column10103" id="10122"/>
    <tableColumn name="Column10104" id="10123"/>
    <tableColumn name="Column10105" id="10124"/>
    <tableColumn name="Column10106" id="10125"/>
    <tableColumn name="Column10107" id="10126"/>
    <tableColumn name="Column10108" id="10127"/>
    <tableColumn name="Column10109" id="10128"/>
    <tableColumn name="Column10110" id="10129"/>
    <tableColumn name="Column10111" id="10130"/>
    <tableColumn name="Column10112" id="10131"/>
    <tableColumn name="Column10113" id="10132"/>
    <tableColumn name="Column10114" id="10133"/>
    <tableColumn name="Column10115" id="10134"/>
    <tableColumn name="Column10116" id="10135"/>
    <tableColumn name="Column10117" id="10136"/>
    <tableColumn name="Column10118" id="10137"/>
    <tableColumn name="Column10119" id="10138"/>
    <tableColumn name="Column10120" id="10139"/>
    <tableColumn name="Column10121" id="10140"/>
    <tableColumn name="Column10122" id="10141"/>
    <tableColumn name="Column10123" id="10142"/>
    <tableColumn name="Column10124" id="10143"/>
    <tableColumn name="Column10125" id="10144"/>
    <tableColumn name="Column10126" id="10145"/>
    <tableColumn name="Column10127" id="10146"/>
    <tableColumn name="Column10128" id="10147"/>
    <tableColumn name="Column10129" id="10148"/>
    <tableColumn name="Column10130" id="10149"/>
    <tableColumn name="Column10131" id="10150"/>
    <tableColumn name="Column10132" id="10151"/>
    <tableColumn name="Column10133" id="10152"/>
    <tableColumn name="Column10134" id="10153"/>
    <tableColumn name="Column10135" id="10154"/>
    <tableColumn name="Column10136" id="10155"/>
    <tableColumn name="Column10137" id="10156"/>
    <tableColumn name="Column10138" id="10157"/>
    <tableColumn name="Column10139" id="10158"/>
    <tableColumn name="Column10140" id="10159"/>
    <tableColumn name="Column10141" id="10160"/>
    <tableColumn name="Column10142" id="10161"/>
    <tableColumn name="Column10143" id="10162"/>
    <tableColumn name="Column10144" id="10163"/>
    <tableColumn name="Column10145" id="10164"/>
    <tableColumn name="Column10146" id="10165"/>
    <tableColumn name="Column10147" id="10166"/>
    <tableColumn name="Column10148" id="10167"/>
    <tableColumn name="Column10149" id="10168"/>
    <tableColumn name="Column10150" id="10169"/>
    <tableColumn name="Column10151" id="10170"/>
    <tableColumn name="Column10152" id="10171"/>
    <tableColumn name="Column10153" id="10172"/>
    <tableColumn name="Column10154" id="10173"/>
    <tableColumn name="Column10155" id="10174"/>
    <tableColumn name="Column10156" id="10175"/>
    <tableColumn name="Column10157" id="10176"/>
    <tableColumn name="Column10158" id="10177"/>
    <tableColumn name="Column10159" id="10178"/>
    <tableColumn name="Column10160" id="10179"/>
    <tableColumn name="Column10161" id="10180"/>
    <tableColumn name="Column10162" id="10181"/>
    <tableColumn name="Column10163" id="10182"/>
    <tableColumn name="Column10164" id="10183"/>
    <tableColumn name="Column10165" id="10184"/>
    <tableColumn name="Column10166" id="10185"/>
    <tableColumn name="Column10167" id="10186"/>
    <tableColumn name="Column10168" id="10187"/>
    <tableColumn name="Column10169" id="10188"/>
    <tableColumn name="Column10170" id="10189"/>
    <tableColumn name="Column10171" id="10190"/>
    <tableColumn name="Column10172" id="10191"/>
    <tableColumn name="Column10173" id="10192"/>
    <tableColumn name="Column10174" id="10193"/>
    <tableColumn name="Column10175" id="10194"/>
    <tableColumn name="Column10176" id="10195"/>
    <tableColumn name="Column10177" id="10196"/>
    <tableColumn name="Column10178" id="10197"/>
    <tableColumn name="Column10179" id="10198"/>
    <tableColumn name="Column10180" id="10199"/>
    <tableColumn name="Column10181" id="10200"/>
    <tableColumn name="Column10182" id="10201"/>
    <tableColumn name="Column10183" id="10202"/>
    <tableColumn name="Column10184" id="10203"/>
    <tableColumn name="Column10185" id="10204"/>
    <tableColumn name="Column10186" id="10205"/>
    <tableColumn name="Column10187" id="10206"/>
    <tableColumn name="Column10188" id="10207"/>
    <tableColumn name="Column10189" id="10208"/>
    <tableColumn name="Column10190" id="10209"/>
    <tableColumn name="Column10191" id="10210"/>
    <tableColumn name="Column10192" id="10211"/>
    <tableColumn name="Column10193" id="10212"/>
    <tableColumn name="Column10194" id="10213"/>
    <tableColumn name="Column10195" id="10214"/>
    <tableColumn name="Column10196" id="10215"/>
    <tableColumn name="Column10197" id="10216"/>
    <tableColumn name="Column10198" id="10217"/>
    <tableColumn name="Column10199" id="10218"/>
    <tableColumn name="Column10200" id="10219"/>
    <tableColumn name="Column10201" id="10220"/>
    <tableColumn name="Column10202" id="10221"/>
    <tableColumn name="Column10203" id="10222"/>
    <tableColumn name="Column10204" id="10223"/>
    <tableColumn name="Column10205" id="10224"/>
    <tableColumn name="Column10206" id="10225"/>
    <tableColumn name="Column10207" id="10226"/>
    <tableColumn name="Column10208" id="10227"/>
    <tableColumn name="Column10209" id="10228"/>
    <tableColumn name="Column10210" id="10229"/>
    <tableColumn name="Column10211" id="10230"/>
    <tableColumn name="Column10212" id="10231"/>
    <tableColumn name="Column10213" id="10232"/>
    <tableColumn name="Column10214" id="10233"/>
    <tableColumn name="Column10215" id="10234"/>
    <tableColumn name="Column10216" id="10235"/>
    <tableColumn name="Column10217" id="10236"/>
    <tableColumn name="Column10218" id="10237"/>
    <tableColumn name="Column10219" id="10238"/>
    <tableColumn name="Column10220" id="10239"/>
    <tableColumn name="Column10221" id="10240"/>
    <tableColumn name="Column10222" id="10241"/>
    <tableColumn name="Column10223" id="10242"/>
    <tableColumn name="Column10224" id="10243"/>
    <tableColumn name="Column10225" id="10244"/>
    <tableColumn name="Column10226" id="10245"/>
    <tableColumn name="Column10227" id="10246"/>
    <tableColumn name="Column10228" id="10247"/>
    <tableColumn name="Column10229" id="10248"/>
    <tableColumn name="Column10230" id="10249"/>
    <tableColumn name="Column10231" id="10250"/>
    <tableColumn name="Column10232" id="10251"/>
    <tableColumn name="Column10233" id="10252"/>
    <tableColumn name="Column10234" id="10253"/>
    <tableColumn name="Column10235" id="10254"/>
    <tableColumn name="Column10236" id="10255"/>
    <tableColumn name="Column10237" id="10256"/>
    <tableColumn name="Column10238" id="10257"/>
    <tableColumn name="Column10239" id="10258"/>
    <tableColumn name="Column10240" id="10259"/>
    <tableColumn name="Column10241" id="10260"/>
    <tableColumn name="Column10242" id="10261"/>
    <tableColumn name="Column10243" id="10262"/>
    <tableColumn name="Column10244" id="10263"/>
    <tableColumn name="Column10245" id="10264"/>
    <tableColumn name="Column10246" id="10265"/>
    <tableColumn name="Column10247" id="10266"/>
    <tableColumn name="Column10248" id="10267"/>
    <tableColumn name="Column10249" id="10268"/>
    <tableColumn name="Column10250" id="10269"/>
    <tableColumn name="Column10251" id="10270"/>
    <tableColumn name="Column10252" id="10271"/>
    <tableColumn name="Column10253" id="10272"/>
    <tableColumn name="Column10254" id="10273"/>
    <tableColumn name="Column10255" id="10274"/>
    <tableColumn name="Column10256" id="10275"/>
    <tableColumn name="Column10257" id="10276"/>
    <tableColumn name="Column10258" id="10277"/>
    <tableColumn name="Column10259" id="10278"/>
    <tableColumn name="Column10260" id="10279"/>
    <tableColumn name="Column10261" id="10280"/>
    <tableColumn name="Column10262" id="10281"/>
    <tableColumn name="Column10263" id="10282"/>
    <tableColumn name="Column10264" id="10283"/>
    <tableColumn name="Column10265" id="10284"/>
    <tableColumn name="Column10266" id="10285"/>
    <tableColumn name="Column10267" id="10286"/>
    <tableColumn name="Column10268" id="10287"/>
    <tableColumn name="Column10269" id="10288"/>
    <tableColumn name="Column10270" id="10289"/>
    <tableColumn name="Column10271" id="10290"/>
    <tableColumn name="Column10272" id="10291"/>
    <tableColumn name="Column10273" id="10292"/>
    <tableColumn name="Column10274" id="10293"/>
    <tableColumn name="Column10275" id="10294"/>
    <tableColumn name="Column10276" id="10295"/>
    <tableColumn name="Column10277" id="10296"/>
    <tableColumn name="Column10278" id="10297"/>
    <tableColumn name="Column10279" id="10298"/>
    <tableColumn name="Column10280" id="10299"/>
    <tableColumn name="Column10281" id="10300"/>
    <tableColumn name="Column10282" id="10301"/>
    <tableColumn name="Column10283" id="10302"/>
    <tableColumn name="Column10284" id="10303"/>
    <tableColumn name="Column10285" id="10304"/>
    <tableColumn name="Column10286" id="10305"/>
    <tableColumn name="Column10287" id="10306"/>
    <tableColumn name="Column10288" id="10307"/>
    <tableColumn name="Column10289" id="10308"/>
    <tableColumn name="Column10290" id="10309"/>
    <tableColumn name="Column10291" id="10310"/>
    <tableColumn name="Column10292" id="10311"/>
    <tableColumn name="Column10293" id="10312"/>
    <tableColumn name="Column10294" id="10313"/>
    <tableColumn name="Column10295" id="10314"/>
    <tableColumn name="Column10296" id="10315"/>
    <tableColumn name="Column10297" id="10316"/>
    <tableColumn name="Column10298" id="10317"/>
    <tableColumn name="Column10299" id="10318"/>
    <tableColumn name="Column10300" id="10319"/>
    <tableColumn name="Column10301" id="10320"/>
    <tableColumn name="Column10302" id="10321"/>
    <tableColumn name="Column10303" id="10322"/>
    <tableColumn name="Column10304" id="10323"/>
    <tableColumn name="Column10305" id="10324"/>
    <tableColumn name="Column10306" id="10325"/>
    <tableColumn name="Column10307" id="10326"/>
    <tableColumn name="Column10308" id="10327"/>
    <tableColumn name="Column10309" id="10328"/>
    <tableColumn name="Column10310" id="10329"/>
    <tableColumn name="Column10311" id="10330"/>
    <tableColumn name="Column10312" id="10331"/>
    <tableColumn name="Column10313" id="10332"/>
    <tableColumn name="Column10314" id="10333"/>
    <tableColumn name="Column10315" id="10334"/>
    <tableColumn name="Column10316" id="10335"/>
    <tableColumn name="Column10317" id="10336"/>
    <tableColumn name="Column10318" id="10337"/>
    <tableColumn name="Column10319" id="10338"/>
    <tableColumn name="Column10320" id="10339"/>
    <tableColumn name="Column10321" id="10340"/>
    <tableColumn name="Column10322" id="10341"/>
    <tableColumn name="Column10323" id="10342"/>
    <tableColumn name="Column10324" id="10343"/>
    <tableColumn name="Column10325" id="10344"/>
    <tableColumn name="Column10326" id="10345"/>
    <tableColumn name="Column10327" id="10346"/>
    <tableColumn name="Column10328" id="10347"/>
    <tableColumn name="Column10329" id="10348"/>
    <tableColumn name="Column10330" id="10349"/>
    <tableColumn name="Column10331" id="10350"/>
    <tableColumn name="Column10332" id="10351"/>
    <tableColumn name="Column10333" id="10352"/>
    <tableColumn name="Column10334" id="10353"/>
    <tableColumn name="Column10335" id="10354"/>
    <tableColumn name="Column10336" id="10355"/>
    <tableColumn name="Column10337" id="10356"/>
    <tableColumn name="Column10338" id="10357"/>
    <tableColumn name="Column10339" id="10358"/>
    <tableColumn name="Column10340" id="10359"/>
    <tableColumn name="Column10341" id="10360"/>
    <tableColumn name="Column10342" id="10361"/>
    <tableColumn name="Column10343" id="10362"/>
    <tableColumn name="Column10344" id="10363"/>
    <tableColumn name="Column10345" id="10364"/>
    <tableColumn name="Column10346" id="10365"/>
    <tableColumn name="Column10347" id="10366"/>
    <tableColumn name="Column10348" id="10367"/>
    <tableColumn name="Column10349" id="10368"/>
    <tableColumn name="Column10350" id="10369"/>
    <tableColumn name="Column10351" id="10370"/>
    <tableColumn name="Column10352" id="10371"/>
    <tableColumn name="Column10353" id="10372"/>
    <tableColumn name="Column10354" id="10373"/>
    <tableColumn name="Column10355" id="10374"/>
    <tableColumn name="Column10356" id="10375"/>
    <tableColumn name="Column10357" id="10376"/>
    <tableColumn name="Column10358" id="10377"/>
    <tableColumn name="Column10359" id="10378"/>
    <tableColumn name="Column10360" id="10379"/>
    <tableColumn name="Column10361" id="10380"/>
    <tableColumn name="Column10362" id="10381"/>
    <tableColumn name="Column10363" id="10382"/>
    <tableColumn name="Column10364" id="10383"/>
    <tableColumn name="Column10365" id="10384"/>
    <tableColumn name="Column10366" id="10385"/>
    <tableColumn name="Column10367" id="10386"/>
    <tableColumn name="Column10368" id="10387"/>
    <tableColumn name="Column10369" id="10388"/>
    <tableColumn name="Column10370" id="10389"/>
    <tableColumn name="Column10371" id="10390"/>
    <tableColumn name="Column10372" id="10391"/>
    <tableColumn name="Column10373" id="10392"/>
    <tableColumn name="Column10374" id="10393"/>
    <tableColumn name="Column10375" id="10394"/>
    <tableColumn name="Column10376" id="10395"/>
    <tableColumn name="Column10377" id="10396"/>
    <tableColumn name="Column10378" id="10397"/>
    <tableColumn name="Column10379" id="10398"/>
    <tableColumn name="Column10380" id="10399"/>
    <tableColumn name="Column10381" id="10400"/>
    <tableColumn name="Column10382" id="10401"/>
    <tableColumn name="Column10383" id="10402"/>
    <tableColumn name="Column10384" id="10403"/>
    <tableColumn name="Column10385" id="10404"/>
    <tableColumn name="Column10386" id="10405"/>
    <tableColumn name="Column10387" id="10406"/>
    <tableColumn name="Column10388" id="10407"/>
    <tableColumn name="Column10389" id="10408"/>
    <tableColumn name="Column10390" id="10409"/>
    <tableColumn name="Column10391" id="10410"/>
    <tableColumn name="Column10392" id="10411"/>
    <tableColumn name="Column10393" id="10412"/>
    <tableColumn name="Column10394" id="10413"/>
    <tableColumn name="Column10395" id="10414"/>
    <tableColumn name="Column10396" id="10415"/>
    <tableColumn name="Column10397" id="10416"/>
    <tableColumn name="Column10398" id="10417"/>
    <tableColumn name="Column10399" id="10418"/>
    <tableColumn name="Column10400" id="10419"/>
    <tableColumn name="Column10401" id="10420"/>
    <tableColumn name="Column10402" id="10421"/>
    <tableColumn name="Column10403" id="10422"/>
    <tableColumn name="Column10404" id="10423"/>
    <tableColumn name="Column10405" id="10424"/>
    <tableColumn name="Column10406" id="10425"/>
    <tableColumn name="Column10407" id="10426"/>
    <tableColumn name="Column10408" id="10427"/>
    <tableColumn name="Column10409" id="10428"/>
    <tableColumn name="Column10410" id="10429"/>
    <tableColumn name="Column10411" id="10430"/>
    <tableColumn name="Column10412" id="10431"/>
    <tableColumn name="Column10413" id="10432"/>
    <tableColumn name="Column10414" id="10433"/>
    <tableColumn name="Column10415" id="10434"/>
    <tableColumn name="Column10416" id="10435"/>
    <tableColumn name="Column10417" id="10436"/>
    <tableColumn name="Column10418" id="10437"/>
    <tableColumn name="Column10419" id="10438"/>
    <tableColumn name="Column10420" id="10439"/>
    <tableColumn name="Column10421" id="10440"/>
    <tableColumn name="Column10422" id="10441"/>
    <tableColumn name="Column10423" id="10442"/>
    <tableColumn name="Column10424" id="10443"/>
    <tableColumn name="Column10425" id="10444"/>
    <tableColumn name="Column10426" id="10445"/>
    <tableColumn name="Column10427" id="10446"/>
    <tableColumn name="Column10428" id="10447"/>
    <tableColumn name="Column10429" id="10448"/>
    <tableColumn name="Column10430" id="10449"/>
    <tableColumn name="Column10431" id="10450"/>
    <tableColumn name="Column10432" id="10451"/>
    <tableColumn name="Column10433" id="10452"/>
    <tableColumn name="Column10434" id="10453"/>
    <tableColumn name="Column10435" id="10454"/>
    <tableColumn name="Column10436" id="10455"/>
    <tableColumn name="Column10437" id="10456"/>
    <tableColumn name="Column10438" id="10457"/>
    <tableColumn name="Column10439" id="10458"/>
    <tableColumn name="Column10440" id="10459"/>
    <tableColumn name="Column10441" id="10460"/>
    <tableColumn name="Column10442" id="10461"/>
    <tableColumn name="Column10443" id="10462"/>
    <tableColumn name="Column10444" id="10463"/>
    <tableColumn name="Column10445" id="10464"/>
    <tableColumn name="Column10446" id="10465"/>
    <tableColumn name="Column10447" id="10466"/>
    <tableColumn name="Column10448" id="10467"/>
    <tableColumn name="Column10449" id="10468"/>
    <tableColumn name="Column10450" id="10469"/>
    <tableColumn name="Column10451" id="10470"/>
    <tableColumn name="Column10452" id="10471"/>
    <tableColumn name="Column10453" id="10472"/>
    <tableColumn name="Column10454" id="10473"/>
    <tableColumn name="Column10455" id="10474"/>
    <tableColumn name="Column10456" id="10475"/>
    <tableColumn name="Column10457" id="10476"/>
    <tableColumn name="Column10458" id="10477"/>
    <tableColumn name="Column10459" id="10478"/>
    <tableColumn name="Column10460" id="10479"/>
    <tableColumn name="Column10461" id="10480"/>
    <tableColumn name="Column10462" id="10481"/>
    <tableColumn name="Column10463" id="10482"/>
    <tableColumn name="Column10464" id="10483"/>
    <tableColumn name="Column10465" id="10484"/>
    <tableColumn name="Column10466" id="10485"/>
    <tableColumn name="Column10467" id="10486"/>
    <tableColumn name="Column10468" id="10487"/>
    <tableColumn name="Column10469" id="10488"/>
    <tableColumn name="Column10470" id="10489"/>
    <tableColumn name="Column10471" id="10490"/>
    <tableColumn name="Column10472" id="10491"/>
    <tableColumn name="Column10473" id="10492"/>
    <tableColumn name="Column10474" id="10493"/>
    <tableColumn name="Column10475" id="10494"/>
    <tableColumn name="Column10476" id="10495"/>
    <tableColumn name="Column10477" id="10496"/>
    <tableColumn name="Column10478" id="10497"/>
    <tableColumn name="Column10479" id="10498"/>
    <tableColumn name="Column10480" id="10499"/>
    <tableColumn name="Column10481" id="10500"/>
    <tableColumn name="Column10482" id="10501"/>
    <tableColumn name="Column10483" id="10502"/>
    <tableColumn name="Column10484" id="10503"/>
    <tableColumn name="Column10485" id="10504"/>
    <tableColumn name="Column10486" id="10505"/>
    <tableColumn name="Column10487" id="10506"/>
    <tableColumn name="Column10488" id="10507"/>
    <tableColumn name="Column10489" id="10508"/>
    <tableColumn name="Column10490" id="10509"/>
    <tableColumn name="Column10491" id="10510"/>
    <tableColumn name="Column10492" id="10511"/>
    <tableColumn name="Column10493" id="10512"/>
    <tableColumn name="Column10494" id="10513"/>
    <tableColumn name="Column10495" id="10514"/>
    <tableColumn name="Column10496" id="10515"/>
    <tableColumn name="Column10497" id="10516"/>
    <tableColumn name="Column10498" id="10517"/>
    <tableColumn name="Column10499" id="10518"/>
    <tableColumn name="Column10500" id="10519"/>
    <tableColumn name="Column10501" id="10520"/>
    <tableColumn name="Column10502" id="10521"/>
    <tableColumn name="Column10503" id="10522"/>
    <tableColumn name="Column10504" id="10523"/>
    <tableColumn name="Column10505" id="10524"/>
    <tableColumn name="Column10506" id="10525"/>
    <tableColumn name="Column10507" id="10526"/>
    <tableColumn name="Column10508" id="10527"/>
    <tableColumn name="Column10509" id="10528"/>
    <tableColumn name="Column10510" id="10529"/>
    <tableColumn name="Column10511" id="10530"/>
    <tableColumn name="Column10512" id="10531"/>
    <tableColumn name="Column10513" id="10532"/>
    <tableColumn name="Column10514" id="10533"/>
    <tableColumn name="Column10515" id="10534"/>
    <tableColumn name="Column10516" id="10535"/>
    <tableColumn name="Column10517" id="10536"/>
    <tableColumn name="Column10518" id="10537"/>
    <tableColumn name="Column10519" id="10538"/>
    <tableColumn name="Column10520" id="10539"/>
    <tableColumn name="Column10521" id="10540"/>
    <tableColumn name="Column10522" id="10541"/>
    <tableColumn name="Column10523" id="10542"/>
    <tableColumn name="Column10524" id="10543"/>
    <tableColumn name="Column10525" id="10544"/>
    <tableColumn name="Column10526" id="10545"/>
    <tableColumn name="Column10527" id="10546"/>
    <tableColumn name="Column10528" id="10547"/>
    <tableColumn name="Column10529" id="10548"/>
    <tableColumn name="Column10530" id="10549"/>
    <tableColumn name="Column10531" id="10550"/>
    <tableColumn name="Column10532" id="10551"/>
    <tableColumn name="Column10533" id="10552"/>
    <tableColumn name="Column10534" id="10553"/>
    <tableColumn name="Column10535" id="10554"/>
    <tableColumn name="Column10536" id="10555"/>
    <tableColumn name="Column10537" id="10556"/>
    <tableColumn name="Column10538" id="10557"/>
    <tableColumn name="Column10539" id="10558"/>
    <tableColumn name="Column10540" id="10559"/>
    <tableColumn name="Column10541" id="10560"/>
    <tableColumn name="Column10542" id="10561"/>
    <tableColumn name="Column10543" id="10562"/>
    <tableColumn name="Column10544" id="10563"/>
    <tableColumn name="Column10545" id="10564"/>
    <tableColumn name="Column10546" id="10565"/>
    <tableColumn name="Column10547" id="10566"/>
    <tableColumn name="Column10548" id="10567"/>
    <tableColumn name="Column10549" id="10568"/>
    <tableColumn name="Column10550" id="10569"/>
    <tableColumn name="Column10551" id="10570"/>
    <tableColumn name="Column10552" id="10571"/>
    <tableColumn name="Column10553" id="10572"/>
    <tableColumn name="Column10554" id="10573"/>
    <tableColumn name="Column10555" id="10574"/>
    <tableColumn name="Column10556" id="10575"/>
    <tableColumn name="Column10557" id="10576"/>
    <tableColumn name="Column10558" id="10577"/>
    <tableColumn name="Column10559" id="10578"/>
    <tableColumn name="Column10560" id="10579"/>
    <tableColumn name="Column10561" id="10580"/>
    <tableColumn name="Column10562" id="10581"/>
    <tableColumn name="Column10563" id="10582"/>
    <tableColumn name="Column10564" id="10583"/>
    <tableColumn name="Column10565" id="10584"/>
    <tableColumn name="Column10566" id="10585"/>
    <tableColumn name="Column10567" id="10586"/>
    <tableColumn name="Column10568" id="10587"/>
    <tableColumn name="Column10569" id="10588"/>
    <tableColumn name="Column10570" id="10589"/>
    <tableColumn name="Column10571" id="10590"/>
    <tableColumn name="Column10572" id="10591"/>
    <tableColumn name="Column10573" id="10592"/>
    <tableColumn name="Column10574" id="10593"/>
    <tableColumn name="Column10575" id="10594"/>
    <tableColumn name="Column10576" id="10595"/>
    <tableColumn name="Column10577" id="10596"/>
    <tableColumn name="Column10578" id="10597"/>
    <tableColumn name="Column10579" id="10598"/>
    <tableColumn name="Column10580" id="10599"/>
    <tableColumn name="Column10581" id="10600"/>
    <tableColumn name="Column10582" id="10601"/>
    <tableColumn name="Column10583" id="10602"/>
    <tableColumn name="Column10584" id="10603"/>
    <tableColumn name="Column10585" id="10604"/>
    <tableColumn name="Column10586" id="10605"/>
    <tableColumn name="Column10587" id="10606"/>
    <tableColumn name="Column10588" id="10607"/>
    <tableColumn name="Column10589" id="10608"/>
    <tableColumn name="Column10590" id="10609"/>
    <tableColumn name="Column10591" id="10610"/>
    <tableColumn name="Column10592" id="10611"/>
    <tableColumn name="Column10593" id="10612"/>
    <tableColumn name="Column10594" id="10613"/>
    <tableColumn name="Column10595" id="10614"/>
    <tableColumn name="Column10596" id="10615"/>
    <tableColumn name="Column10597" id="10616"/>
    <tableColumn name="Column10598" id="10617"/>
    <tableColumn name="Column10599" id="10618"/>
    <tableColumn name="Column10600" id="10619"/>
    <tableColumn name="Column10601" id="10620"/>
    <tableColumn name="Column10602" id="10621"/>
    <tableColumn name="Column10603" id="10622"/>
    <tableColumn name="Column10604" id="10623"/>
    <tableColumn name="Column10605" id="10624"/>
    <tableColumn name="Column10606" id="10625"/>
    <tableColumn name="Column10607" id="10626"/>
    <tableColumn name="Column10608" id="10627"/>
    <tableColumn name="Column10609" id="10628"/>
    <tableColumn name="Column10610" id="10629"/>
    <tableColumn name="Column10611" id="10630"/>
    <tableColumn name="Column10612" id="10631"/>
    <tableColumn name="Column10613" id="10632"/>
    <tableColumn name="Column10614" id="10633"/>
    <tableColumn name="Column10615" id="10634"/>
    <tableColumn name="Column10616" id="10635"/>
    <tableColumn name="Column10617" id="10636"/>
    <tableColumn name="Column10618" id="10637"/>
    <tableColumn name="Column10619" id="10638"/>
    <tableColumn name="Column10620" id="10639"/>
    <tableColumn name="Column10621" id="10640"/>
    <tableColumn name="Column10622" id="10641"/>
    <tableColumn name="Column10623" id="10642"/>
    <tableColumn name="Column10624" id="10643"/>
    <tableColumn name="Column10625" id="10644"/>
    <tableColumn name="Column10626" id="10645"/>
    <tableColumn name="Column10627" id="10646"/>
    <tableColumn name="Column10628" id="10647"/>
    <tableColumn name="Column10629" id="10648"/>
    <tableColumn name="Column10630" id="10649"/>
    <tableColumn name="Column10631" id="10650"/>
    <tableColumn name="Column10632" id="10651"/>
    <tableColumn name="Column10633" id="10652"/>
    <tableColumn name="Column10634" id="10653"/>
    <tableColumn name="Column10635" id="10654"/>
    <tableColumn name="Column10636" id="10655"/>
    <tableColumn name="Column10637" id="10656"/>
    <tableColumn name="Column10638" id="10657"/>
    <tableColumn name="Column10639" id="10658"/>
    <tableColumn name="Column10640" id="10659"/>
    <tableColumn name="Column10641" id="10660"/>
    <tableColumn name="Column10642" id="10661"/>
    <tableColumn name="Column10643" id="10662"/>
    <tableColumn name="Column10644" id="10663"/>
    <tableColumn name="Column10645" id="10664"/>
    <tableColumn name="Column10646" id="10665"/>
    <tableColumn name="Column10647" id="10666"/>
    <tableColumn name="Column10648" id="10667"/>
    <tableColumn name="Column10649" id="10668"/>
    <tableColumn name="Column10650" id="10669"/>
    <tableColumn name="Column10651" id="10670"/>
    <tableColumn name="Column10652" id="10671"/>
    <tableColumn name="Column10653" id="10672"/>
    <tableColumn name="Column10654" id="10673"/>
    <tableColumn name="Column10655" id="10674"/>
    <tableColumn name="Column10656" id="10675"/>
    <tableColumn name="Column10657" id="10676"/>
    <tableColumn name="Column10658" id="10677"/>
    <tableColumn name="Column10659" id="10678"/>
    <tableColumn name="Column10660" id="10679"/>
    <tableColumn name="Column10661" id="10680"/>
    <tableColumn name="Column10662" id="10681"/>
    <tableColumn name="Column10663" id="10682"/>
    <tableColumn name="Column10664" id="10683"/>
    <tableColumn name="Column10665" id="10684"/>
    <tableColumn name="Column10666" id="10685"/>
    <tableColumn name="Column10667" id="10686"/>
    <tableColumn name="Column10668" id="10687"/>
    <tableColumn name="Column10669" id="10688"/>
    <tableColumn name="Column10670" id="10689"/>
    <tableColumn name="Column10671" id="10690"/>
    <tableColumn name="Column10672" id="10691"/>
    <tableColumn name="Column10673" id="10692"/>
    <tableColumn name="Column10674" id="10693"/>
    <tableColumn name="Column10675" id="10694"/>
    <tableColumn name="Column10676" id="10695"/>
    <tableColumn name="Column10677" id="10696"/>
    <tableColumn name="Column10678" id="10697"/>
    <tableColumn name="Column10679" id="10698"/>
    <tableColumn name="Column10680" id="10699"/>
    <tableColumn name="Column10681" id="10700"/>
    <tableColumn name="Column10682" id="10701"/>
    <tableColumn name="Column10683" id="10702"/>
    <tableColumn name="Column10684" id="10703"/>
    <tableColumn name="Column10685" id="10704"/>
    <tableColumn name="Column10686" id="10705"/>
    <tableColumn name="Column10687" id="10706"/>
    <tableColumn name="Column10688" id="10707"/>
    <tableColumn name="Column10689" id="10708"/>
    <tableColumn name="Column10690" id="10709"/>
    <tableColumn name="Column10691" id="10710"/>
    <tableColumn name="Column10692" id="10711"/>
    <tableColumn name="Column10693" id="10712"/>
    <tableColumn name="Column10694" id="10713"/>
    <tableColumn name="Column10695" id="10714"/>
    <tableColumn name="Column10696" id="10715"/>
    <tableColumn name="Column10697" id="10716"/>
    <tableColumn name="Column10698" id="10717"/>
    <tableColumn name="Column10699" id="10718"/>
    <tableColumn name="Column10700" id="10719"/>
    <tableColumn name="Column10701" id="10720"/>
    <tableColumn name="Column10702" id="10721"/>
    <tableColumn name="Column10703" id="10722"/>
    <tableColumn name="Column10704" id="10723"/>
    <tableColumn name="Column10705" id="10724"/>
    <tableColumn name="Column10706" id="10725"/>
    <tableColumn name="Column10707" id="10726"/>
    <tableColumn name="Column10708" id="10727"/>
    <tableColumn name="Column10709" id="10728"/>
    <tableColumn name="Column10710" id="10729"/>
    <tableColumn name="Column10711" id="10730"/>
    <tableColumn name="Column10712" id="10731"/>
    <tableColumn name="Column10713" id="10732"/>
    <tableColumn name="Column10714" id="10733"/>
    <tableColumn name="Column10715" id="10734"/>
    <tableColumn name="Column10716" id="10735"/>
    <tableColumn name="Column10717" id="10736"/>
    <tableColumn name="Column10718" id="10737"/>
    <tableColumn name="Column10719" id="10738"/>
    <tableColumn name="Column10720" id="10739"/>
    <tableColumn name="Column10721" id="10740"/>
    <tableColumn name="Column10722" id="10741"/>
    <tableColumn name="Column10723" id="10742"/>
    <tableColumn name="Column10724" id="10743"/>
    <tableColumn name="Column10725" id="10744"/>
    <tableColumn name="Column10726" id="10745"/>
    <tableColumn name="Column10727" id="10746"/>
    <tableColumn name="Column10728" id="10747"/>
    <tableColumn name="Column10729" id="10748"/>
    <tableColumn name="Column10730" id="10749"/>
    <tableColumn name="Column10731" id="10750"/>
    <tableColumn name="Column10732" id="10751"/>
    <tableColumn name="Column10733" id="10752"/>
    <tableColumn name="Column10734" id="10753"/>
    <tableColumn name="Column10735" id="10754"/>
    <tableColumn name="Column10736" id="10755"/>
    <tableColumn name="Column10737" id="10756"/>
    <tableColumn name="Column10738" id="10757"/>
    <tableColumn name="Column10739" id="10758"/>
    <tableColumn name="Column10740" id="10759"/>
    <tableColumn name="Column10741" id="10760"/>
    <tableColumn name="Column10742" id="10761"/>
    <tableColumn name="Column10743" id="10762"/>
    <tableColumn name="Column10744" id="10763"/>
    <tableColumn name="Column10745" id="10764"/>
    <tableColumn name="Column10746" id="10765"/>
    <tableColumn name="Column10747" id="10766"/>
    <tableColumn name="Column10748" id="10767"/>
    <tableColumn name="Column10749" id="10768"/>
    <tableColumn name="Column10750" id="10769"/>
    <tableColumn name="Column10751" id="10770"/>
    <tableColumn name="Column10752" id="10771"/>
    <tableColumn name="Column10753" id="10772"/>
    <tableColumn name="Column10754" id="10773"/>
    <tableColumn name="Column10755" id="10774"/>
    <tableColumn name="Column10756" id="10775"/>
    <tableColumn name="Column10757" id="10776"/>
    <tableColumn name="Column10758" id="10777"/>
    <tableColumn name="Column10759" id="10778"/>
    <tableColumn name="Column10760" id="10779"/>
    <tableColumn name="Column10761" id="10780"/>
    <tableColumn name="Column10762" id="10781"/>
    <tableColumn name="Column10763" id="10782"/>
    <tableColumn name="Column10764" id="10783"/>
    <tableColumn name="Column10765" id="10784"/>
    <tableColumn name="Column10766" id="10785"/>
    <tableColumn name="Column10767" id="10786"/>
    <tableColumn name="Column10768" id="10787"/>
    <tableColumn name="Column10769" id="10788"/>
    <tableColumn name="Column10770" id="10789"/>
    <tableColumn name="Column10771" id="10790"/>
    <tableColumn name="Column10772" id="10791"/>
    <tableColumn name="Column10773" id="10792"/>
    <tableColumn name="Column10774" id="10793"/>
    <tableColumn name="Column10775" id="10794"/>
    <tableColumn name="Column10776" id="10795"/>
    <tableColumn name="Column10777" id="10796"/>
    <tableColumn name="Column10778" id="10797"/>
    <tableColumn name="Column10779" id="10798"/>
    <tableColumn name="Column10780" id="10799"/>
    <tableColumn name="Column10781" id="10800"/>
    <tableColumn name="Column10782" id="10801"/>
    <tableColumn name="Column10783" id="10802"/>
    <tableColumn name="Column10784" id="10803"/>
    <tableColumn name="Column10785" id="10804"/>
    <tableColumn name="Column10786" id="10805"/>
    <tableColumn name="Column10787" id="10806"/>
    <tableColumn name="Column10788" id="10807"/>
    <tableColumn name="Column10789" id="10808"/>
    <tableColumn name="Column10790" id="10809"/>
    <tableColumn name="Column10791" id="10810"/>
    <tableColumn name="Column10792" id="10811"/>
    <tableColumn name="Column10793" id="10812"/>
    <tableColumn name="Column10794" id="10813"/>
    <tableColumn name="Column10795" id="10814"/>
    <tableColumn name="Column10796" id="10815"/>
    <tableColumn name="Column10797" id="10816"/>
    <tableColumn name="Column10798" id="10817"/>
    <tableColumn name="Column10799" id="10818"/>
    <tableColumn name="Column10800" id="10819"/>
    <tableColumn name="Column10801" id="10820"/>
    <tableColumn name="Column10802" id="10821"/>
    <tableColumn name="Column10803" id="10822"/>
    <tableColumn name="Column10804" id="10823"/>
    <tableColumn name="Column10805" id="10824"/>
    <tableColumn name="Column10806" id="10825"/>
    <tableColumn name="Column10807" id="10826"/>
    <tableColumn name="Column10808" id="10827"/>
    <tableColumn name="Column10809" id="10828"/>
    <tableColumn name="Column10810" id="10829"/>
    <tableColumn name="Column10811" id="10830"/>
    <tableColumn name="Column10812" id="10831"/>
    <tableColumn name="Column10813" id="10832"/>
    <tableColumn name="Column10814" id="10833"/>
    <tableColumn name="Column10815" id="10834"/>
    <tableColumn name="Column10816" id="10835"/>
    <tableColumn name="Column10817" id="10836"/>
    <tableColumn name="Column10818" id="10837"/>
    <tableColumn name="Column10819" id="10838"/>
    <tableColumn name="Column10820" id="10839"/>
    <tableColumn name="Column10821" id="10840"/>
    <tableColumn name="Column10822" id="10841"/>
    <tableColumn name="Column10823" id="10842"/>
    <tableColumn name="Column10824" id="10843"/>
    <tableColumn name="Column10825" id="10844"/>
    <tableColumn name="Column10826" id="10845"/>
    <tableColumn name="Column10827" id="10846"/>
    <tableColumn name="Column10828" id="10847"/>
    <tableColumn name="Column10829" id="10848"/>
    <tableColumn name="Column10830" id="10849"/>
    <tableColumn name="Column10831" id="10850"/>
    <tableColumn name="Column10832" id="10851"/>
    <tableColumn name="Column10833" id="10852"/>
    <tableColumn name="Column10834" id="10853"/>
    <tableColumn name="Column10835" id="10854"/>
    <tableColumn name="Column10836" id="10855"/>
    <tableColumn name="Column10837" id="10856"/>
    <tableColumn name="Column10838" id="10857"/>
    <tableColumn name="Column10839" id="10858"/>
    <tableColumn name="Column10840" id="10859"/>
    <tableColumn name="Column10841" id="10860"/>
    <tableColumn name="Column10842" id="10861"/>
    <tableColumn name="Column10843" id="10862"/>
    <tableColumn name="Column10844" id="10863"/>
    <tableColumn name="Column10845" id="10864"/>
    <tableColumn name="Column10846" id="10865"/>
    <tableColumn name="Column10847" id="10866"/>
    <tableColumn name="Column10848" id="10867"/>
    <tableColumn name="Column10849" id="10868"/>
    <tableColumn name="Column10850" id="10869"/>
    <tableColumn name="Column10851" id="10870"/>
    <tableColumn name="Column10852" id="10871"/>
    <tableColumn name="Column10853" id="10872"/>
    <tableColumn name="Column10854" id="10873"/>
    <tableColumn name="Column10855" id="10874"/>
    <tableColumn name="Column10856" id="10875"/>
    <tableColumn name="Column10857" id="10876"/>
    <tableColumn name="Column10858" id="10877"/>
    <tableColumn name="Column10859" id="10878"/>
    <tableColumn name="Column10860" id="10879"/>
    <tableColumn name="Column10861" id="10880"/>
    <tableColumn name="Column10862" id="10881"/>
    <tableColumn name="Column10863" id="10882"/>
    <tableColumn name="Column10864" id="10883"/>
    <tableColumn name="Column10865" id="10884"/>
    <tableColumn name="Column10866" id="10885"/>
    <tableColumn name="Column10867" id="10886"/>
    <tableColumn name="Column10868" id="10887"/>
    <tableColumn name="Column10869" id="10888"/>
    <tableColumn name="Column10870" id="10889"/>
    <tableColumn name="Column10871" id="10890"/>
    <tableColumn name="Column10872" id="10891"/>
    <tableColumn name="Column10873" id="10892"/>
    <tableColumn name="Column10874" id="10893"/>
    <tableColumn name="Column10875" id="10894"/>
    <tableColumn name="Column10876" id="10895"/>
    <tableColumn name="Column10877" id="10896"/>
    <tableColumn name="Column10878" id="10897"/>
    <tableColumn name="Column10879" id="10898"/>
    <tableColumn name="Column10880" id="10899"/>
    <tableColumn name="Column10881" id="10900"/>
    <tableColumn name="Column10882" id="10901"/>
    <tableColumn name="Column10883" id="10902"/>
    <tableColumn name="Column10884" id="10903"/>
    <tableColumn name="Column10885" id="10904"/>
    <tableColumn name="Column10886" id="10905"/>
    <tableColumn name="Column10887" id="10906"/>
    <tableColumn name="Column10888" id="10907"/>
    <tableColumn name="Column10889" id="10908"/>
    <tableColumn name="Column10890" id="10909"/>
    <tableColumn name="Column10891" id="10910"/>
    <tableColumn name="Column10892" id="10911"/>
    <tableColumn name="Column10893" id="10912"/>
    <tableColumn name="Column10894" id="10913"/>
    <tableColumn name="Column10895" id="10914"/>
    <tableColumn name="Column10896" id="10915"/>
    <tableColumn name="Column10897" id="10916"/>
    <tableColumn name="Column10898" id="10917"/>
    <tableColumn name="Column10899" id="10918"/>
    <tableColumn name="Column10900" id="10919"/>
    <tableColumn name="Column10901" id="10920"/>
    <tableColumn name="Column10902" id="10921"/>
    <tableColumn name="Column10903" id="10922"/>
    <tableColumn name="Column10904" id="10923"/>
    <tableColumn name="Column10905" id="10924"/>
    <tableColumn name="Column10906" id="10925"/>
    <tableColumn name="Column10907" id="10926"/>
    <tableColumn name="Column10908" id="10927"/>
    <tableColumn name="Column10909" id="10928"/>
    <tableColumn name="Column10910" id="10929"/>
    <tableColumn name="Column10911" id="10930"/>
    <tableColumn name="Column10912" id="10931"/>
    <tableColumn name="Column10913" id="10932"/>
    <tableColumn name="Column10914" id="10933"/>
    <tableColumn name="Column10915" id="10934"/>
    <tableColumn name="Column10916" id="10935"/>
    <tableColumn name="Column10917" id="10936"/>
    <tableColumn name="Column10918" id="10937"/>
    <tableColumn name="Column10919" id="10938"/>
    <tableColumn name="Column10920" id="10939"/>
    <tableColumn name="Column10921" id="10940"/>
    <tableColumn name="Column10922" id="10941"/>
    <tableColumn name="Column10923" id="10942"/>
    <tableColumn name="Column10924" id="10943"/>
    <tableColumn name="Column10925" id="10944"/>
    <tableColumn name="Column10926" id="10945"/>
    <tableColumn name="Column10927" id="10946"/>
    <tableColumn name="Column10928" id="10947"/>
    <tableColumn name="Column10929" id="10948"/>
    <tableColumn name="Column10930" id="10949"/>
    <tableColumn name="Column10931" id="10950"/>
    <tableColumn name="Column10932" id="10951"/>
    <tableColumn name="Column10933" id="10952"/>
    <tableColumn name="Column10934" id="10953"/>
    <tableColumn name="Column10935" id="10954"/>
    <tableColumn name="Column10936" id="10955"/>
    <tableColumn name="Column10937" id="10956"/>
    <tableColumn name="Column10938" id="10957"/>
    <tableColumn name="Column10939" id="10958"/>
    <tableColumn name="Column10940" id="10959"/>
    <tableColumn name="Column10941" id="10960"/>
    <tableColumn name="Column10942" id="10961"/>
    <tableColumn name="Column10943" id="10962"/>
    <tableColumn name="Column10944" id="10963"/>
    <tableColumn name="Column10945" id="10964"/>
    <tableColumn name="Column10946" id="10965"/>
    <tableColumn name="Column10947" id="10966"/>
    <tableColumn name="Column10948" id="10967"/>
    <tableColumn name="Column10949" id="10968"/>
    <tableColumn name="Column10950" id="10969"/>
    <tableColumn name="Column10951" id="10970"/>
    <tableColumn name="Column10952" id="10971"/>
    <tableColumn name="Column10953" id="10972"/>
    <tableColumn name="Column10954" id="10973"/>
    <tableColumn name="Column10955" id="10974"/>
    <tableColumn name="Column10956" id="10975"/>
    <tableColumn name="Column10957" id="10976"/>
    <tableColumn name="Column10958" id="10977"/>
    <tableColumn name="Column10959" id="10978"/>
    <tableColumn name="Column10960" id="10979"/>
    <tableColumn name="Column10961" id="10980"/>
    <tableColumn name="Column10962" id="10981"/>
    <tableColumn name="Column10963" id="10982"/>
    <tableColumn name="Column10964" id="10983"/>
    <tableColumn name="Column10965" id="10984"/>
    <tableColumn name="Column10966" id="10985"/>
    <tableColumn name="Column10967" id="10986"/>
    <tableColumn name="Column10968" id="10987"/>
    <tableColumn name="Column10969" id="10988"/>
    <tableColumn name="Column10970" id="10989"/>
    <tableColumn name="Column10971" id="10990"/>
    <tableColumn name="Column10972" id="10991"/>
    <tableColumn name="Column10973" id="10992"/>
    <tableColumn name="Column10974" id="10993"/>
    <tableColumn name="Column10975" id="10994"/>
    <tableColumn name="Column10976" id="10995"/>
    <tableColumn name="Column10977" id="10996"/>
    <tableColumn name="Column10978" id="10997"/>
    <tableColumn name="Column10979" id="10998"/>
    <tableColumn name="Column10980" id="10999"/>
    <tableColumn name="Column10981" id="11000"/>
    <tableColumn name="Column10982" id="11001"/>
    <tableColumn name="Column10983" id="11002"/>
    <tableColumn name="Column10984" id="11003"/>
    <tableColumn name="Column10985" id="11004"/>
    <tableColumn name="Column10986" id="11005"/>
    <tableColumn name="Column10987" id="11006"/>
    <tableColumn name="Column10988" id="11007"/>
    <tableColumn name="Column10989" id="11008"/>
    <tableColumn name="Column10990" id="11009"/>
    <tableColumn name="Column10991" id="11010"/>
    <tableColumn name="Column10992" id="11011"/>
    <tableColumn name="Column10993" id="11012"/>
    <tableColumn name="Column10994" id="11013"/>
    <tableColumn name="Column10995" id="11014"/>
    <tableColumn name="Column10996" id="11015"/>
    <tableColumn name="Column10997" id="11016"/>
    <tableColumn name="Column10998" id="11017"/>
    <tableColumn name="Column10999" id="11018"/>
    <tableColumn name="Column11000" id="11019"/>
    <tableColumn name="Column11001" id="11020"/>
    <tableColumn name="Column11002" id="11021"/>
    <tableColumn name="Column11003" id="11022"/>
    <tableColumn name="Column11004" id="11023"/>
    <tableColumn name="Column11005" id="11024"/>
    <tableColumn name="Column11006" id="11025"/>
    <tableColumn name="Column11007" id="11026"/>
    <tableColumn name="Column11008" id="11027"/>
    <tableColumn name="Column11009" id="11028"/>
    <tableColumn name="Column11010" id="11029"/>
    <tableColumn name="Column11011" id="11030"/>
    <tableColumn name="Column11012" id="11031"/>
    <tableColumn name="Column11013" id="11032"/>
    <tableColumn name="Column11014" id="11033"/>
    <tableColumn name="Column11015" id="11034"/>
    <tableColumn name="Column11016" id="11035"/>
    <tableColumn name="Column11017" id="11036"/>
    <tableColumn name="Column11018" id="11037"/>
    <tableColumn name="Column11019" id="11038"/>
    <tableColumn name="Column11020" id="11039"/>
    <tableColumn name="Column11021" id="11040"/>
    <tableColumn name="Column11022" id="11041"/>
    <tableColumn name="Column11023" id="11042"/>
    <tableColumn name="Column11024" id="11043"/>
    <tableColumn name="Column11025" id="11044"/>
    <tableColumn name="Column11026" id="11045"/>
    <tableColumn name="Column11027" id="11046"/>
    <tableColumn name="Column11028" id="11047"/>
    <tableColumn name="Column11029" id="11048"/>
    <tableColumn name="Column11030" id="11049"/>
    <tableColumn name="Column11031" id="11050"/>
    <tableColumn name="Column11032" id="11051"/>
    <tableColumn name="Column11033" id="11052"/>
    <tableColumn name="Column11034" id="11053"/>
    <tableColumn name="Column11035" id="11054"/>
    <tableColumn name="Column11036" id="11055"/>
    <tableColumn name="Column11037" id="11056"/>
    <tableColumn name="Column11038" id="11057"/>
    <tableColumn name="Column11039" id="11058"/>
    <tableColumn name="Column11040" id="11059"/>
    <tableColumn name="Column11041" id="11060"/>
    <tableColumn name="Column11042" id="11061"/>
    <tableColumn name="Column11043" id="11062"/>
    <tableColumn name="Column11044" id="11063"/>
    <tableColumn name="Column11045" id="11064"/>
    <tableColumn name="Column11046" id="11065"/>
    <tableColumn name="Column11047" id="11066"/>
    <tableColumn name="Column11048" id="11067"/>
    <tableColumn name="Column11049" id="11068"/>
    <tableColumn name="Column11050" id="11069"/>
    <tableColumn name="Column11051" id="11070"/>
    <tableColumn name="Column11052" id="11071"/>
    <tableColumn name="Column11053" id="11072"/>
    <tableColumn name="Column11054" id="11073"/>
    <tableColumn name="Column11055" id="11074"/>
    <tableColumn name="Column11056" id="11075"/>
    <tableColumn name="Column11057" id="11076"/>
    <tableColumn name="Column11058" id="11077"/>
    <tableColumn name="Column11059" id="11078"/>
    <tableColumn name="Column11060" id="11079"/>
    <tableColumn name="Column11061" id="11080"/>
    <tableColumn name="Column11062" id="11081"/>
    <tableColumn name="Column11063" id="11082"/>
    <tableColumn name="Column11064" id="11083"/>
    <tableColumn name="Column11065" id="11084"/>
    <tableColumn name="Column11066" id="11085"/>
    <tableColumn name="Column11067" id="11086"/>
    <tableColumn name="Column11068" id="11087"/>
    <tableColumn name="Column11069" id="11088"/>
    <tableColumn name="Column11070" id="11089"/>
    <tableColumn name="Column11071" id="11090"/>
    <tableColumn name="Column11072" id="11091"/>
    <tableColumn name="Column11073" id="11092"/>
    <tableColumn name="Column11074" id="11093"/>
    <tableColumn name="Column11075" id="11094"/>
    <tableColumn name="Column11076" id="11095"/>
    <tableColumn name="Column11077" id="11096"/>
    <tableColumn name="Column11078" id="11097"/>
    <tableColumn name="Column11079" id="11098"/>
    <tableColumn name="Column11080" id="11099"/>
    <tableColumn name="Column11081" id="11100"/>
    <tableColumn name="Column11082" id="11101"/>
    <tableColumn name="Column11083" id="11102"/>
    <tableColumn name="Column11084" id="11103"/>
    <tableColumn name="Column11085" id="11104"/>
    <tableColumn name="Column11086" id="11105"/>
    <tableColumn name="Column11087" id="11106"/>
    <tableColumn name="Column11088" id="11107"/>
    <tableColumn name="Column11089" id="11108"/>
    <tableColumn name="Column11090" id="11109"/>
    <tableColumn name="Column11091" id="11110"/>
    <tableColumn name="Column11092" id="11111"/>
    <tableColumn name="Column11093" id="11112"/>
    <tableColumn name="Column11094" id="11113"/>
    <tableColumn name="Column11095" id="11114"/>
    <tableColumn name="Column11096" id="11115"/>
    <tableColumn name="Column11097" id="11116"/>
    <tableColumn name="Column11098" id="11117"/>
    <tableColumn name="Column11099" id="11118"/>
    <tableColumn name="Column11100" id="11119"/>
    <tableColumn name="Column11101" id="11120"/>
    <tableColumn name="Column11102" id="11121"/>
    <tableColumn name="Column11103" id="11122"/>
    <tableColumn name="Column11104" id="11123"/>
    <tableColumn name="Column11105" id="11124"/>
    <tableColumn name="Column11106" id="11125"/>
    <tableColumn name="Column11107" id="11126"/>
    <tableColumn name="Column11108" id="11127"/>
    <tableColumn name="Column11109" id="11128"/>
    <tableColumn name="Column11110" id="11129"/>
    <tableColumn name="Column11111" id="11130"/>
    <tableColumn name="Column11112" id="11131"/>
    <tableColumn name="Column11113" id="11132"/>
    <tableColumn name="Column11114" id="11133"/>
    <tableColumn name="Column11115" id="11134"/>
    <tableColumn name="Column11116" id="11135"/>
    <tableColumn name="Column11117" id="11136"/>
    <tableColumn name="Column11118" id="11137"/>
    <tableColumn name="Column11119" id="11138"/>
    <tableColumn name="Column11120" id="11139"/>
    <tableColumn name="Column11121" id="11140"/>
    <tableColumn name="Column11122" id="11141"/>
    <tableColumn name="Column11123" id="11142"/>
    <tableColumn name="Column11124" id="11143"/>
    <tableColumn name="Column11125" id="11144"/>
    <tableColumn name="Column11126" id="11145"/>
    <tableColumn name="Column11127" id="11146"/>
    <tableColumn name="Column11128" id="11147"/>
    <tableColumn name="Column11129" id="11148"/>
    <tableColumn name="Column11130" id="11149"/>
    <tableColumn name="Column11131" id="11150"/>
    <tableColumn name="Column11132" id="11151"/>
    <tableColumn name="Column11133" id="11152"/>
    <tableColumn name="Column11134" id="11153"/>
    <tableColumn name="Column11135" id="11154"/>
    <tableColumn name="Column11136" id="11155"/>
    <tableColumn name="Column11137" id="11156"/>
    <tableColumn name="Column11138" id="11157"/>
    <tableColumn name="Column11139" id="11158"/>
    <tableColumn name="Column11140" id="11159"/>
    <tableColumn name="Column11141" id="11160"/>
    <tableColumn name="Column11142" id="11161"/>
    <tableColumn name="Column11143" id="11162"/>
    <tableColumn name="Column11144" id="11163"/>
    <tableColumn name="Column11145" id="11164"/>
    <tableColumn name="Column11146" id="11165"/>
    <tableColumn name="Column11147" id="11166"/>
    <tableColumn name="Column11148" id="11167"/>
    <tableColumn name="Column11149" id="11168"/>
    <tableColumn name="Column11150" id="11169"/>
    <tableColumn name="Column11151" id="11170"/>
    <tableColumn name="Column11152" id="11171"/>
    <tableColumn name="Column11153" id="11172"/>
    <tableColumn name="Column11154" id="11173"/>
    <tableColumn name="Column11155" id="11174"/>
    <tableColumn name="Column11156" id="11175"/>
    <tableColumn name="Column11157" id="11176"/>
    <tableColumn name="Column11158" id="11177"/>
    <tableColumn name="Column11159" id="11178"/>
    <tableColumn name="Column11160" id="11179"/>
    <tableColumn name="Column11161" id="11180"/>
    <tableColumn name="Column11162" id="11181"/>
    <tableColumn name="Column11163" id="11182"/>
    <tableColumn name="Column11164" id="11183"/>
    <tableColumn name="Column11165" id="11184"/>
    <tableColumn name="Column11166" id="11185"/>
    <tableColumn name="Column11167" id="11186"/>
    <tableColumn name="Column11168" id="11187"/>
    <tableColumn name="Column11169" id="11188"/>
    <tableColumn name="Column11170" id="11189"/>
    <tableColumn name="Column11171" id="11190"/>
    <tableColumn name="Column11172" id="11191"/>
    <tableColumn name="Column11173" id="11192"/>
    <tableColumn name="Column11174" id="11193"/>
    <tableColumn name="Column11175" id="11194"/>
    <tableColumn name="Column11176" id="11195"/>
    <tableColumn name="Column11177" id="11196"/>
    <tableColumn name="Column11178" id="11197"/>
    <tableColumn name="Column11179" id="11198"/>
    <tableColumn name="Column11180" id="11199"/>
    <tableColumn name="Column11181" id="11200"/>
    <tableColumn name="Column11182" id="11201"/>
    <tableColumn name="Column11183" id="11202"/>
    <tableColumn name="Column11184" id="11203"/>
    <tableColumn name="Column11185" id="11204"/>
    <tableColumn name="Column11186" id="11205"/>
    <tableColumn name="Column11187" id="11206"/>
    <tableColumn name="Column11188" id="11207"/>
    <tableColumn name="Column11189" id="11208"/>
    <tableColumn name="Column11190" id="11209"/>
    <tableColumn name="Column11191" id="11210"/>
    <tableColumn name="Column11192" id="11211"/>
    <tableColumn name="Column11193" id="11212"/>
    <tableColumn name="Column11194" id="11213"/>
    <tableColumn name="Column11195" id="11214"/>
    <tableColumn name="Column11196" id="11215"/>
    <tableColumn name="Column11197" id="11216"/>
    <tableColumn name="Column11198" id="11217"/>
    <tableColumn name="Column11199" id="11218"/>
    <tableColumn name="Column11200" id="11219"/>
    <tableColumn name="Column11201" id="11220"/>
    <tableColumn name="Column11202" id="11221"/>
    <tableColumn name="Column11203" id="11222"/>
    <tableColumn name="Column11204" id="11223"/>
    <tableColumn name="Column11205" id="11224"/>
    <tableColumn name="Column11206" id="11225"/>
    <tableColumn name="Column11207" id="11226"/>
    <tableColumn name="Column11208" id="11227"/>
    <tableColumn name="Column11209" id="11228"/>
    <tableColumn name="Column11210" id="11229"/>
    <tableColumn name="Column11211" id="11230"/>
    <tableColumn name="Column11212" id="11231"/>
    <tableColumn name="Column11213" id="11232"/>
    <tableColumn name="Column11214" id="11233"/>
    <tableColumn name="Column11215" id="11234"/>
    <tableColumn name="Column11216" id="11235"/>
    <tableColumn name="Column11217" id="11236"/>
    <tableColumn name="Column11218" id="11237"/>
    <tableColumn name="Column11219" id="11238"/>
    <tableColumn name="Column11220" id="11239"/>
    <tableColumn name="Column11221" id="11240"/>
    <tableColumn name="Column11222" id="11241"/>
    <tableColumn name="Column11223" id="11242"/>
    <tableColumn name="Column11224" id="11243"/>
    <tableColumn name="Column11225" id="11244"/>
    <tableColumn name="Column11226" id="11245"/>
    <tableColumn name="Column11227" id="11246"/>
    <tableColumn name="Column11228" id="11247"/>
    <tableColumn name="Column11229" id="11248"/>
    <tableColumn name="Column11230" id="11249"/>
    <tableColumn name="Column11231" id="11250"/>
    <tableColumn name="Column11232" id="11251"/>
    <tableColumn name="Column11233" id="11252"/>
    <tableColumn name="Column11234" id="11253"/>
    <tableColumn name="Column11235" id="11254"/>
    <tableColumn name="Column11236" id="11255"/>
    <tableColumn name="Column11237" id="11256"/>
    <tableColumn name="Column11238" id="11257"/>
    <tableColumn name="Column11239" id="11258"/>
    <tableColumn name="Column11240" id="11259"/>
    <tableColumn name="Column11241" id="11260"/>
    <tableColumn name="Column11242" id="11261"/>
    <tableColumn name="Column11243" id="11262"/>
    <tableColumn name="Column11244" id="11263"/>
    <tableColumn name="Column11245" id="11264"/>
    <tableColumn name="Column11246" id="11265"/>
    <tableColumn name="Column11247" id="11266"/>
    <tableColumn name="Column11248" id="11267"/>
    <tableColumn name="Column11249" id="11268"/>
    <tableColumn name="Column11250" id="11269"/>
    <tableColumn name="Column11251" id="11270"/>
    <tableColumn name="Column11252" id="11271"/>
    <tableColumn name="Column11253" id="11272"/>
    <tableColumn name="Column11254" id="11273"/>
    <tableColumn name="Column11255" id="11274"/>
    <tableColumn name="Column11256" id="11275"/>
    <tableColumn name="Column11257" id="11276"/>
    <tableColumn name="Column11258" id="11277"/>
    <tableColumn name="Column11259" id="11278"/>
    <tableColumn name="Column11260" id="11279"/>
    <tableColumn name="Column11261" id="11280"/>
    <tableColumn name="Column11262" id="11281"/>
    <tableColumn name="Column11263" id="11282"/>
    <tableColumn name="Column11264" id="11283"/>
    <tableColumn name="Column11265" id="11284"/>
    <tableColumn name="Column11266" id="11285"/>
    <tableColumn name="Column11267" id="11286"/>
    <tableColumn name="Column11268" id="11287"/>
    <tableColumn name="Column11269" id="11288"/>
    <tableColumn name="Column11270" id="11289"/>
    <tableColumn name="Column11271" id="11290"/>
    <tableColumn name="Column11272" id="11291"/>
    <tableColumn name="Column11273" id="11292"/>
    <tableColumn name="Column11274" id="11293"/>
    <tableColumn name="Column11275" id="11294"/>
    <tableColumn name="Column11276" id="11295"/>
    <tableColumn name="Column11277" id="11296"/>
    <tableColumn name="Column11278" id="11297"/>
    <tableColumn name="Column11279" id="11298"/>
    <tableColumn name="Column11280" id="11299"/>
    <tableColumn name="Column11281" id="11300"/>
    <tableColumn name="Column11282" id="11301"/>
    <tableColumn name="Column11283" id="11302"/>
    <tableColumn name="Column11284" id="11303"/>
    <tableColumn name="Column11285" id="11304"/>
    <tableColumn name="Column11286" id="11305"/>
    <tableColumn name="Column11287" id="11306"/>
    <tableColumn name="Column11288" id="11307"/>
    <tableColumn name="Column11289" id="11308"/>
    <tableColumn name="Column11290" id="11309"/>
    <tableColumn name="Column11291" id="11310"/>
    <tableColumn name="Column11292" id="11311"/>
    <tableColumn name="Column11293" id="11312"/>
    <tableColumn name="Column11294" id="11313"/>
    <tableColumn name="Column11295" id="11314"/>
    <tableColumn name="Column11296" id="11315"/>
    <tableColumn name="Column11297" id="11316"/>
    <tableColumn name="Column11298" id="11317"/>
    <tableColumn name="Column11299" id="11318"/>
    <tableColumn name="Column11300" id="11319"/>
    <tableColumn name="Column11301" id="11320"/>
    <tableColumn name="Column11302" id="11321"/>
    <tableColumn name="Column11303" id="11322"/>
    <tableColumn name="Column11304" id="11323"/>
    <tableColumn name="Column11305" id="11324"/>
    <tableColumn name="Column11306" id="11325"/>
    <tableColumn name="Column11307" id="11326"/>
    <tableColumn name="Column11308" id="11327"/>
    <tableColumn name="Column11309" id="11328"/>
    <tableColumn name="Column11310" id="11329"/>
    <tableColumn name="Column11311" id="11330"/>
    <tableColumn name="Column11312" id="11331"/>
    <tableColumn name="Column11313" id="11332"/>
    <tableColumn name="Column11314" id="11333"/>
    <tableColumn name="Column11315" id="11334"/>
    <tableColumn name="Column11316" id="11335"/>
    <tableColumn name="Column11317" id="11336"/>
    <tableColumn name="Column11318" id="11337"/>
    <tableColumn name="Column11319" id="11338"/>
    <tableColumn name="Column11320" id="11339"/>
    <tableColumn name="Column11321" id="11340"/>
    <tableColumn name="Column11322" id="11341"/>
    <tableColumn name="Column11323" id="11342"/>
    <tableColumn name="Column11324" id="11343"/>
    <tableColumn name="Column11325" id="11344"/>
    <tableColumn name="Column11326" id="11345"/>
    <tableColumn name="Column11327" id="11346"/>
    <tableColumn name="Column11328" id="11347"/>
    <tableColumn name="Column11329" id="11348"/>
    <tableColumn name="Column11330" id="11349"/>
    <tableColumn name="Column11331" id="11350"/>
    <tableColumn name="Column11332" id="11351"/>
    <tableColumn name="Column11333" id="11352"/>
    <tableColumn name="Column11334" id="11353"/>
    <tableColumn name="Column11335" id="11354"/>
    <tableColumn name="Column11336" id="11355"/>
    <tableColumn name="Column11337" id="11356"/>
    <tableColumn name="Column11338" id="11357"/>
    <tableColumn name="Column11339" id="11358"/>
    <tableColumn name="Column11340" id="11359"/>
    <tableColumn name="Column11341" id="11360"/>
    <tableColumn name="Column11342" id="11361"/>
    <tableColumn name="Column11343" id="11362"/>
    <tableColumn name="Column11344" id="11363"/>
    <tableColumn name="Column11345" id="11364"/>
    <tableColumn name="Column11346" id="11365"/>
    <tableColumn name="Column11347" id="11366"/>
    <tableColumn name="Column11348" id="11367"/>
    <tableColumn name="Column11349" id="11368"/>
    <tableColumn name="Column11350" id="11369"/>
    <tableColumn name="Column11351" id="11370"/>
    <tableColumn name="Column11352" id="11371"/>
    <tableColumn name="Column11353" id="11372"/>
    <tableColumn name="Column11354" id="11373"/>
    <tableColumn name="Column11355" id="11374"/>
    <tableColumn name="Column11356" id="11375"/>
    <tableColumn name="Column11357" id="11376"/>
    <tableColumn name="Column11358" id="11377"/>
    <tableColumn name="Column11359" id="11378"/>
    <tableColumn name="Column11360" id="11379"/>
    <tableColumn name="Column11361" id="11380"/>
    <tableColumn name="Column11362" id="11381"/>
    <tableColumn name="Column11363" id="11382"/>
    <tableColumn name="Column11364" id="11383"/>
    <tableColumn name="Column11365" id="11384"/>
    <tableColumn name="Column11366" id="11385"/>
    <tableColumn name="Column11367" id="11386"/>
    <tableColumn name="Column11368" id="11387"/>
    <tableColumn name="Column11369" id="11388"/>
    <tableColumn name="Column11370" id="11389"/>
    <tableColumn name="Column11371" id="11390"/>
    <tableColumn name="Column11372" id="11391"/>
    <tableColumn name="Column11373" id="11392"/>
    <tableColumn name="Column11374" id="11393"/>
    <tableColumn name="Column11375" id="11394"/>
    <tableColumn name="Column11376" id="11395"/>
    <tableColumn name="Column11377" id="11396"/>
    <tableColumn name="Column11378" id="11397"/>
    <tableColumn name="Column11379" id="11398"/>
    <tableColumn name="Column11380" id="11399"/>
    <tableColumn name="Column11381" id="11400"/>
    <tableColumn name="Column11382" id="11401"/>
    <tableColumn name="Column11383" id="11402"/>
    <tableColumn name="Column11384" id="11403"/>
    <tableColumn name="Column11385" id="11404"/>
    <tableColumn name="Column11386" id="11405"/>
    <tableColumn name="Column11387" id="11406"/>
    <tableColumn name="Column11388" id="11407"/>
    <tableColumn name="Column11389" id="11408"/>
    <tableColumn name="Column11390" id="11409"/>
    <tableColumn name="Column11391" id="11410"/>
    <tableColumn name="Column11392" id="11411"/>
    <tableColumn name="Column11393" id="11412"/>
    <tableColumn name="Column11394" id="11413"/>
    <tableColumn name="Column11395" id="11414"/>
    <tableColumn name="Column11396" id="11415"/>
    <tableColumn name="Column11397" id="11416"/>
    <tableColumn name="Column11398" id="11417"/>
    <tableColumn name="Column11399" id="11418"/>
    <tableColumn name="Column11400" id="11419"/>
    <tableColumn name="Column11401" id="11420"/>
    <tableColumn name="Column11402" id="11421"/>
    <tableColumn name="Column11403" id="11422"/>
    <tableColumn name="Column11404" id="11423"/>
    <tableColumn name="Column11405" id="11424"/>
    <tableColumn name="Column11406" id="11425"/>
    <tableColumn name="Column11407" id="11426"/>
    <tableColumn name="Column11408" id="11427"/>
    <tableColumn name="Column11409" id="11428"/>
    <tableColumn name="Column11410" id="11429"/>
    <tableColumn name="Column11411" id="11430"/>
    <tableColumn name="Column11412" id="11431"/>
    <tableColumn name="Column11413" id="11432"/>
    <tableColumn name="Column11414" id="11433"/>
    <tableColumn name="Column11415" id="11434"/>
    <tableColumn name="Column11416" id="11435"/>
    <tableColumn name="Column11417" id="11436"/>
    <tableColumn name="Column11418" id="11437"/>
    <tableColumn name="Column11419" id="11438"/>
    <tableColumn name="Column11420" id="11439"/>
    <tableColumn name="Column11421" id="11440"/>
    <tableColumn name="Column11422" id="11441"/>
    <tableColumn name="Column11423" id="11442"/>
    <tableColumn name="Column11424" id="11443"/>
    <tableColumn name="Column11425" id="11444"/>
    <tableColumn name="Column11426" id="11445"/>
    <tableColumn name="Column11427" id="11446"/>
    <tableColumn name="Column11428" id="11447"/>
    <tableColumn name="Column11429" id="11448"/>
    <tableColumn name="Column11430" id="11449"/>
    <tableColumn name="Column11431" id="11450"/>
    <tableColumn name="Column11432" id="11451"/>
    <tableColumn name="Column11433" id="11452"/>
    <tableColumn name="Column11434" id="11453"/>
    <tableColumn name="Column11435" id="11454"/>
    <tableColumn name="Column11436" id="11455"/>
    <tableColumn name="Column11437" id="11456"/>
    <tableColumn name="Column11438" id="11457"/>
    <tableColumn name="Column11439" id="11458"/>
    <tableColumn name="Column11440" id="11459"/>
    <tableColumn name="Column11441" id="11460"/>
    <tableColumn name="Column11442" id="11461"/>
    <tableColumn name="Column11443" id="11462"/>
    <tableColumn name="Column11444" id="11463"/>
    <tableColumn name="Column11445" id="11464"/>
    <tableColumn name="Column11446" id="11465"/>
    <tableColumn name="Column11447" id="11466"/>
    <tableColumn name="Column11448" id="11467"/>
    <tableColumn name="Column11449" id="11468"/>
    <tableColumn name="Column11450" id="11469"/>
    <tableColumn name="Column11451" id="11470"/>
    <tableColumn name="Column11452" id="11471"/>
    <tableColumn name="Column11453" id="11472"/>
    <tableColumn name="Column11454" id="11473"/>
    <tableColumn name="Column11455" id="11474"/>
    <tableColumn name="Column11456" id="11475"/>
    <tableColumn name="Column11457" id="11476"/>
    <tableColumn name="Column11458" id="11477"/>
    <tableColumn name="Column11459" id="11478"/>
    <tableColumn name="Column11460" id="11479"/>
    <tableColumn name="Column11461" id="11480"/>
    <tableColumn name="Column11462" id="11481"/>
    <tableColumn name="Column11463" id="11482"/>
    <tableColumn name="Column11464" id="11483"/>
    <tableColumn name="Column11465" id="11484"/>
    <tableColumn name="Column11466" id="11485"/>
    <tableColumn name="Column11467" id="11486"/>
    <tableColumn name="Column11468" id="11487"/>
    <tableColumn name="Column11469" id="11488"/>
    <tableColumn name="Column11470" id="11489"/>
    <tableColumn name="Column11471" id="11490"/>
    <tableColumn name="Column11472" id="11491"/>
    <tableColumn name="Column11473" id="11492"/>
    <tableColumn name="Column11474" id="11493"/>
    <tableColumn name="Column11475" id="11494"/>
    <tableColumn name="Column11476" id="11495"/>
    <tableColumn name="Column11477" id="11496"/>
    <tableColumn name="Column11478" id="11497"/>
    <tableColumn name="Column11479" id="11498"/>
    <tableColumn name="Column11480" id="11499"/>
    <tableColumn name="Column11481" id="11500"/>
    <tableColumn name="Column11482" id="11501"/>
    <tableColumn name="Column11483" id="11502"/>
    <tableColumn name="Column11484" id="11503"/>
    <tableColumn name="Column11485" id="11504"/>
    <tableColumn name="Column11486" id="11505"/>
    <tableColumn name="Column11487" id="11506"/>
    <tableColumn name="Column11488" id="11507"/>
    <tableColumn name="Column11489" id="11508"/>
    <tableColumn name="Column11490" id="11509"/>
    <tableColumn name="Column11491" id="11510"/>
    <tableColumn name="Column11492" id="11511"/>
    <tableColumn name="Column11493" id="11512"/>
    <tableColumn name="Column11494" id="11513"/>
    <tableColumn name="Column11495" id="11514"/>
    <tableColumn name="Column11496" id="11515"/>
    <tableColumn name="Column11497" id="11516"/>
    <tableColumn name="Column11498" id="11517"/>
    <tableColumn name="Column11499" id="11518"/>
    <tableColumn name="Column11500" id="11519"/>
    <tableColumn name="Column11501" id="11520"/>
    <tableColumn name="Column11502" id="11521"/>
    <tableColumn name="Column11503" id="11522"/>
    <tableColumn name="Column11504" id="11523"/>
    <tableColumn name="Column11505" id="11524"/>
    <tableColumn name="Column11506" id="11525"/>
    <tableColumn name="Column11507" id="11526"/>
    <tableColumn name="Column11508" id="11527"/>
    <tableColumn name="Column11509" id="11528"/>
    <tableColumn name="Column11510" id="11529"/>
    <tableColumn name="Column11511" id="11530"/>
    <tableColumn name="Column11512" id="11531"/>
    <tableColumn name="Column11513" id="11532"/>
    <tableColumn name="Column11514" id="11533"/>
    <tableColumn name="Column11515" id="11534"/>
    <tableColumn name="Column11516" id="11535"/>
    <tableColumn name="Column11517" id="11536"/>
    <tableColumn name="Column11518" id="11537"/>
    <tableColumn name="Column11519" id="11538"/>
    <tableColumn name="Column11520" id="11539"/>
    <tableColumn name="Column11521" id="11540"/>
    <tableColumn name="Column11522" id="11541"/>
    <tableColumn name="Column11523" id="11542"/>
    <tableColumn name="Column11524" id="11543"/>
    <tableColumn name="Column11525" id="11544"/>
    <tableColumn name="Column11526" id="11545"/>
    <tableColumn name="Column11527" id="11546"/>
    <tableColumn name="Column11528" id="11547"/>
    <tableColumn name="Column11529" id="11548"/>
    <tableColumn name="Column11530" id="11549"/>
    <tableColumn name="Column11531" id="11550"/>
    <tableColumn name="Column11532" id="11551"/>
    <tableColumn name="Column11533" id="11552"/>
    <tableColumn name="Column11534" id="11553"/>
    <tableColumn name="Column11535" id="11554"/>
    <tableColumn name="Column11536" id="11555"/>
    <tableColumn name="Column11537" id="11556"/>
    <tableColumn name="Column11538" id="11557"/>
    <tableColumn name="Column11539" id="11558"/>
    <tableColumn name="Column11540" id="11559"/>
    <tableColumn name="Column11541" id="11560"/>
    <tableColumn name="Column11542" id="11561"/>
    <tableColumn name="Column11543" id="11562"/>
    <tableColumn name="Column11544" id="11563"/>
    <tableColumn name="Column11545" id="11564"/>
    <tableColumn name="Column11546" id="11565"/>
    <tableColumn name="Column11547" id="11566"/>
    <tableColumn name="Column11548" id="11567"/>
    <tableColumn name="Column11549" id="11568"/>
    <tableColumn name="Column11550" id="11569"/>
    <tableColumn name="Column11551" id="11570"/>
    <tableColumn name="Column11552" id="11571"/>
    <tableColumn name="Column11553" id="11572"/>
    <tableColumn name="Column11554" id="11573"/>
    <tableColumn name="Column11555" id="11574"/>
    <tableColumn name="Column11556" id="11575"/>
    <tableColumn name="Column11557" id="11576"/>
    <tableColumn name="Column11558" id="11577"/>
    <tableColumn name="Column11559" id="11578"/>
    <tableColumn name="Column11560" id="11579"/>
    <tableColumn name="Column11561" id="11580"/>
    <tableColumn name="Column11562" id="11581"/>
    <tableColumn name="Column11563" id="11582"/>
    <tableColumn name="Column11564" id="11583"/>
    <tableColumn name="Column11565" id="11584"/>
    <tableColumn name="Column11566" id="11585"/>
    <tableColumn name="Column11567" id="11586"/>
    <tableColumn name="Column11568" id="11587"/>
    <tableColumn name="Column11569" id="11588"/>
    <tableColumn name="Column11570" id="11589"/>
    <tableColumn name="Column11571" id="11590"/>
    <tableColumn name="Column11572" id="11591"/>
    <tableColumn name="Column11573" id="11592"/>
    <tableColumn name="Column11574" id="11593"/>
    <tableColumn name="Column11575" id="11594"/>
    <tableColumn name="Column11576" id="11595"/>
    <tableColumn name="Column11577" id="11596"/>
    <tableColumn name="Column11578" id="11597"/>
    <tableColumn name="Column11579" id="11598"/>
    <tableColumn name="Column11580" id="11599"/>
    <tableColumn name="Column11581" id="11600"/>
    <tableColumn name="Column11582" id="11601"/>
    <tableColumn name="Column11583" id="11602"/>
    <tableColumn name="Column11584" id="11603"/>
    <tableColumn name="Column11585" id="11604"/>
    <tableColumn name="Column11586" id="11605"/>
    <tableColumn name="Column11587" id="11606"/>
    <tableColumn name="Column11588" id="11607"/>
    <tableColumn name="Column11589" id="11608"/>
    <tableColumn name="Column11590" id="11609"/>
    <tableColumn name="Column11591" id="11610"/>
    <tableColumn name="Column11592" id="11611"/>
    <tableColumn name="Column11593" id="11612"/>
    <tableColumn name="Column11594" id="11613"/>
    <tableColumn name="Column11595" id="11614"/>
    <tableColumn name="Column11596" id="11615"/>
    <tableColumn name="Column11597" id="11616"/>
    <tableColumn name="Column11598" id="11617"/>
    <tableColumn name="Column11599" id="11618"/>
    <tableColumn name="Column11600" id="11619"/>
    <tableColumn name="Column11601" id="11620"/>
    <tableColumn name="Column11602" id="11621"/>
    <tableColumn name="Column11603" id="11622"/>
    <tableColumn name="Column11604" id="11623"/>
    <tableColumn name="Column11605" id="11624"/>
    <tableColumn name="Column11606" id="11625"/>
    <tableColumn name="Column11607" id="11626"/>
    <tableColumn name="Column11608" id="11627"/>
    <tableColumn name="Column11609" id="11628"/>
    <tableColumn name="Column11610" id="11629"/>
    <tableColumn name="Column11611" id="11630"/>
    <tableColumn name="Column11612" id="11631"/>
    <tableColumn name="Column11613" id="11632"/>
    <tableColumn name="Column11614" id="11633"/>
    <tableColumn name="Column11615" id="11634"/>
    <tableColumn name="Column11616" id="11635"/>
    <tableColumn name="Column11617" id="11636"/>
    <tableColumn name="Column11618" id="11637"/>
    <tableColumn name="Column11619" id="11638"/>
    <tableColumn name="Column11620" id="11639"/>
    <tableColumn name="Column11621" id="11640"/>
    <tableColumn name="Column11622" id="11641"/>
    <tableColumn name="Column11623" id="11642"/>
    <tableColumn name="Column11624" id="11643"/>
    <tableColumn name="Column11625" id="11644"/>
    <tableColumn name="Column11626" id="11645"/>
    <tableColumn name="Column11627" id="11646"/>
    <tableColumn name="Column11628" id="11647"/>
    <tableColumn name="Column11629" id="11648"/>
    <tableColumn name="Column11630" id="11649"/>
    <tableColumn name="Column11631" id="11650"/>
    <tableColumn name="Column11632" id="11651"/>
    <tableColumn name="Column11633" id="11652"/>
    <tableColumn name="Column11634" id="11653"/>
    <tableColumn name="Column11635" id="11654"/>
    <tableColumn name="Column11636" id="11655"/>
    <tableColumn name="Column11637" id="11656"/>
    <tableColumn name="Column11638" id="11657"/>
    <tableColumn name="Column11639" id="11658"/>
    <tableColumn name="Column11640" id="11659"/>
    <tableColumn name="Column11641" id="11660"/>
    <tableColumn name="Column11642" id="11661"/>
    <tableColumn name="Column11643" id="11662"/>
    <tableColumn name="Column11644" id="11663"/>
    <tableColumn name="Column11645" id="11664"/>
    <tableColumn name="Column11646" id="11665"/>
    <tableColumn name="Column11647" id="11666"/>
    <tableColumn name="Column11648" id="11667"/>
    <tableColumn name="Column11649" id="11668"/>
    <tableColumn name="Column11650" id="11669"/>
    <tableColumn name="Column11651" id="11670"/>
    <tableColumn name="Column11652" id="11671"/>
    <tableColumn name="Column11653" id="11672"/>
    <tableColumn name="Column11654" id="11673"/>
    <tableColumn name="Column11655" id="11674"/>
    <tableColumn name="Column11656" id="11675"/>
    <tableColumn name="Column11657" id="11676"/>
    <tableColumn name="Column11658" id="11677"/>
    <tableColumn name="Column11659" id="11678"/>
    <tableColumn name="Column11660" id="11679"/>
    <tableColumn name="Column11661" id="11680"/>
    <tableColumn name="Column11662" id="11681"/>
    <tableColumn name="Column11663" id="11682"/>
    <tableColumn name="Column11664" id="11683"/>
    <tableColumn name="Column11665" id="11684"/>
    <tableColumn name="Column11666" id="11685"/>
    <tableColumn name="Column11667" id="11686"/>
    <tableColumn name="Column11668" id="11687"/>
    <tableColumn name="Column11669" id="11688"/>
    <tableColumn name="Column11670" id="11689"/>
    <tableColumn name="Column11671" id="11690"/>
    <tableColumn name="Column11672" id="11691"/>
    <tableColumn name="Column11673" id="11692"/>
    <tableColumn name="Column11674" id="11693"/>
    <tableColumn name="Column11675" id="11694"/>
    <tableColumn name="Column11676" id="11695"/>
    <tableColumn name="Column11677" id="11696"/>
    <tableColumn name="Column11678" id="11697"/>
    <tableColumn name="Column11679" id="11698"/>
    <tableColumn name="Column11680" id="11699"/>
    <tableColumn name="Column11681" id="11700"/>
    <tableColumn name="Column11682" id="11701"/>
    <tableColumn name="Column11683" id="11702"/>
    <tableColumn name="Column11684" id="11703"/>
    <tableColumn name="Column11685" id="11704"/>
    <tableColumn name="Column11686" id="11705"/>
    <tableColumn name="Column11687" id="11706"/>
    <tableColumn name="Column11688" id="11707"/>
    <tableColumn name="Column11689" id="11708"/>
    <tableColumn name="Column11690" id="11709"/>
    <tableColumn name="Column11691" id="11710"/>
    <tableColumn name="Column11692" id="11711"/>
    <tableColumn name="Column11693" id="11712"/>
    <tableColumn name="Column11694" id="11713"/>
    <tableColumn name="Column11695" id="11714"/>
    <tableColumn name="Column11696" id="11715"/>
    <tableColumn name="Column11697" id="11716"/>
    <tableColumn name="Column11698" id="11717"/>
    <tableColumn name="Column11699" id="11718"/>
    <tableColumn name="Column11700" id="11719"/>
    <tableColumn name="Column11701" id="11720"/>
    <tableColumn name="Column11702" id="11721"/>
    <tableColumn name="Column11703" id="11722"/>
    <tableColumn name="Column11704" id="11723"/>
    <tableColumn name="Column11705" id="11724"/>
    <tableColumn name="Column11706" id="11725"/>
    <tableColumn name="Column11707" id="11726"/>
    <tableColumn name="Column11708" id="11727"/>
    <tableColumn name="Column11709" id="11728"/>
    <tableColumn name="Column11710" id="11729"/>
    <tableColumn name="Column11711" id="11730"/>
    <tableColumn name="Column11712" id="11731"/>
    <tableColumn name="Column11713" id="11732"/>
    <tableColumn name="Column11714" id="11733"/>
    <tableColumn name="Column11715" id="11734"/>
    <tableColumn name="Column11716" id="11735"/>
    <tableColumn name="Column11717" id="11736"/>
    <tableColumn name="Column11718" id="11737"/>
    <tableColumn name="Column11719" id="11738"/>
    <tableColumn name="Column11720" id="11739"/>
    <tableColumn name="Column11721" id="11740"/>
    <tableColumn name="Column11722" id="11741"/>
    <tableColumn name="Column11723" id="11742"/>
    <tableColumn name="Column11724" id="11743"/>
    <tableColumn name="Column11725" id="11744"/>
    <tableColumn name="Column11726" id="11745"/>
    <tableColumn name="Column11727" id="11746"/>
    <tableColumn name="Column11728" id="11747"/>
    <tableColumn name="Column11729" id="11748"/>
    <tableColumn name="Column11730" id="11749"/>
    <tableColumn name="Column11731" id="11750"/>
    <tableColumn name="Column11732" id="11751"/>
    <tableColumn name="Column11733" id="11752"/>
    <tableColumn name="Column11734" id="11753"/>
    <tableColumn name="Column11735" id="11754"/>
    <tableColumn name="Column11736" id="11755"/>
    <tableColumn name="Column11737" id="11756"/>
    <tableColumn name="Column11738" id="11757"/>
    <tableColumn name="Column11739" id="11758"/>
    <tableColumn name="Column11740" id="11759"/>
    <tableColumn name="Column11741" id="11760"/>
    <tableColumn name="Column11742" id="11761"/>
    <tableColumn name="Column11743" id="11762"/>
    <tableColumn name="Column11744" id="11763"/>
    <tableColumn name="Column11745" id="11764"/>
    <tableColumn name="Column11746" id="11765"/>
    <tableColumn name="Column11747" id="11766"/>
    <tableColumn name="Column11748" id="11767"/>
    <tableColumn name="Column11749" id="11768"/>
    <tableColumn name="Column11750" id="11769"/>
    <tableColumn name="Column11751" id="11770"/>
    <tableColumn name="Column11752" id="11771"/>
    <tableColumn name="Column11753" id="11772"/>
    <tableColumn name="Column11754" id="11773"/>
    <tableColumn name="Column11755" id="11774"/>
    <tableColumn name="Column11756" id="11775"/>
    <tableColumn name="Column11757" id="11776"/>
    <tableColumn name="Column11758" id="11777"/>
    <tableColumn name="Column11759" id="11778"/>
    <tableColumn name="Column11760" id="11779"/>
    <tableColumn name="Column11761" id="11780"/>
    <tableColumn name="Column11762" id="11781"/>
    <tableColumn name="Column11763" id="11782"/>
    <tableColumn name="Column11764" id="11783"/>
    <tableColumn name="Column11765" id="11784"/>
    <tableColumn name="Column11766" id="11785"/>
    <tableColumn name="Column11767" id="11786"/>
    <tableColumn name="Column11768" id="11787"/>
    <tableColumn name="Column11769" id="11788"/>
    <tableColumn name="Column11770" id="11789"/>
    <tableColumn name="Column11771" id="11790"/>
    <tableColumn name="Column11772" id="11791"/>
    <tableColumn name="Column11773" id="11792"/>
    <tableColumn name="Column11774" id="11793"/>
    <tableColumn name="Column11775" id="11794"/>
    <tableColumn name="Column11776" id="11795"/>
    <tableColumn name="Column11777" id="11796"/>
    <tableColumn name="Column11778" id="11797"/>
    <tableColumn name="Column11779" id="11798"/>
    <tableColumn name="Column11780" id="11799"/>
    <tableColumn name="Column11781" id="11800"/>
    <tableColumn name="Column11782" id="11801"/>
    <tableColumn name="Column11783" id="11802"/>
    <tableColumn name="Column11784" id="11803"/>
    <tableColumn name="Column11785" id="11804"/>
    <tableColumn name="Column11786" id="11805"/>
    <tableColumn name="Column11787" id="11806"/>
    <tableColumn name="Column11788" id="11807"/>
    <tableColumn name="Column11789" id="11808"/>
    <tableColumn name="Column11790" id="11809"/>
    <tableColumn name="Column11791" id="11810"/>
    <tableColumn name="Column11792" id="11811"/>
    <tableColumn name="Column11793" id="11812"/>
    <tableColumn name="Column11794" id="11813"/>
    <tableColumn name="Column11795" id="11814"/>
    <tableColumn name="Column11796" id="11815"/>
    <tableColumn name="Column11797" id="11816"/>
    <tableColumn name="Column11798" id="11817"/>
    <tableColumn name="Column11799" id="11818"/>
    <tableColumn name="Column11800" id="11819"/>
    <tableColumn name="Column11801" id="11820"/>
    <tableColumn name="Column11802" id="11821"/>
    <tableColumn name="Column11803" id="11822"/>
    <tableColumn name="Column11804" id="11823"/>
    <tableColumn name="Column11805" id="11824"/>
    <tableColumn name="Column11806" id="11825"/>
    <tableColumn name="Column11807" id="11826"/>
    <tableColumn name="Column11808" id="11827"/>
    <tableColumn name="Column11809" id="11828"/>
    <tableColumn name="Column11810" id="11829"/>
    <tableColumn name="Column11811" id="11830"/>
    <tableColumn name="Column11812" id="11831"/>
    <tableColumn name="Column11813" id="11832"/>
    <tableColumn name="Column11814" id="11833"/>
    <tableColumn name="Column11815" id="11834"/>
    <tableColumn name="Column11816" id="11835"/>
    <tableColumn name="Column11817" id="11836"/>
    <tableColumn name="Column11818" id="11837"/>
    <tableColumn name="Column11819" id="11838"/>
    <tableColumn name="Column11820" id="11839"/>
    <tableColumn name="Column11821" id="11840"/>
    <tableColumn name="Column11822" id="11841"/>
    <tableColumn name="Column11823" id="11842"/>
    <tableColumn name="Column11824" id="11843"/>
    <tableColumn name="Column11825" id="11844"/>
    <tableColumn name="Column11826" id="11845"/>
    <tableColumn name="Column11827" id="11846"/>
    <tableColumn name="Column11828" id="11847"/>
    <tableColumn name="Column11829" id="11848"/>
    <tableColumn name="Column11830" id="11849"/>
    <tableColumn name="Column11831" id="11850"/>
    <tableColumn name="Column11832" id="11851"/>
    <tableColumn name="Column11833" id="11852"/>
    <tableColumn name="Column11834" id="11853"/>
    <tableColumn name="Column11835" id="11854"/>
    <tableColumn name="Column11836" id="11855"/>
    <tableColumn name="Column11837" id="11856"/>
    <tableColumn name="Column11838" id="11857"/>
    <tableColumn name="Column11839" id="11858"/>
    <tableColumn name="Column11840" id="11859"/>
    <tableColumn name="Column11841" id="11860"/>
    <tableColumn name="Column11842" id="11861"/>
    <tableColumn name="Column11843" id="11862"/>
    <tableColumn name="Column11844" id="11863"/>
    <tableColumn name="Column11845" id="11864"/>
    <tableColumn name="Column11846" id="11865"/>
    <tableColumn name="Column11847" id="11866"/>
    <tableColumn name="Column11848" id="11867"/>
    <tableColumn name="Column11849" id="11868"/>
    <tableColumn name="Column11850" id="11869"/>
    <tableColumn name="Column11851" id="11870"/>
    <tableColumn name="Column11852" id="11871"/>
    <tableColumn name="Column11853" id="11872"/>
    <tableColumn name="Column11854" id="11873"/>
    <tableColumn name="Column11855" id="11874"/>
    <tableColumn name="Column11856" id="11875"/>
    <tableColumn name="Column11857" id="11876"/>
    <tableColumn name="Column11858" id="11877"/>
    <tableColumn name="Column11859" id="11878"/>
    <tableColumn name="Column11860" id="11879"/>
    <tableColumn name="Column11861" id="11880"/>
    <tableColumn name="Column11862" id="11881"/>
    <tableColumn name="Column11863" id="11882"/>
    <tableColumn name="Column11864" id="11883"/>
    <tableColumn name="Column11865" id="11884"/>
    <tableColumn name="Column11866" id="11885"/>
    <tableColumn name="Column11867" id="11886"/>
    <tableColumn name="Column11868" id="11887"/>
    <tableColumn name="Column11869" id="11888"/>
    <tableColumn name="Column11870" id="11889"/>
    <tableColumn name="Column11871" id="11890"/>
    <tableColumn name="Column11872" id="11891"/>
    <tableColumn name="Column11873" id="11892"/>
    <tableColumn name="Column11874" id="11893"/>
    <tableColumn name="Column11875" id="11894"/>
    <tableColumn name="Column11876" id="11895"/>
    <tableColumn name="Column11877" id="11896"/>
    <tableColumn name="Column11878" id="11897"/>
    <tableColumn name="Column11879" id="11898"/>
    <tableColumn name="Column11880" id="11899"/>
    <tableColumn name="Column11881" id="11900"/>
    <tableColumn name="Column11882" id="11901"/>
    <tableColumn name="Column11883" id="11902"/>
    <tableColumn name="Column11884" id="11903"/>
    <tableColumn name="Column11885" id="11904"/>
    <tableColumn name="Column11886" id="11905"/>
    <tableColumn name="Column11887" id="11906"/>
    <tableColumn name="Column11888" id="11907"/>
    <tableColumn name="Column11889" id="11908"/>
    <tableColumn name="Column11890" id="11909"/>
    <tableColumn name="Column11891" id="11910"/>
    <tableColumn name="Column11892" id="11911"/>
    <tableColumn name="Column11893" id="11912"/>
    <tableColumn name="Column11894" id="11913"/>
    <tableColumn name="Column11895" id="11914"/>
    <tableColumn name="Column11896" id="11915"/>
    <tableColumn name="Column11897" id="11916"/>
    <tableColumn name="Column11898" id="11917"/>
    <tableColumn name="Column11899" id="11918"/>
    <tableColumn name="Column11900" id="11919"/>
    <tableColumn name="Column11901" id="11920"/>
    <tableColumn name="Column11902" id="11921"/>
    <tableColumn name="Column11903" id="11922"/>
    <tableColumn name="Column11904" id="11923"/>
    <tableColumn name="Column11905" id="11924"/>
    <tableColumn name="Column11906" id="11925"/>
    <tableColumn name="Column11907" id="11926"/>
    <tableColumn name="Column11908" id="11927"/>
    <tableColumn name="Column11909" id="11928"/>
    <tableColumn name="Column11910" id="11929"/>
    <tableColumn name="Column11911" id="11930"/>
    <tableColumn name="Column11912" id="11931"/>
    <tableColumn name="Column11913" id="11932"/>
    <tableColumn name="Column11914" id="11933"/>
    <tableColumn name="Column11915" id="11934"/>
    <tableColumn name="Column11916" id="11935"/>
    <tableColumn name="Column11917" id="11936"/>
    <tableColumn name="Column11918" id="11937"/>
    <tableColumn name="Column11919" id="11938"/>
    <tableColumn name="Column11920" id="11939"/>
    <tableColumn name="Column11921" id="11940"/>
    <tableColumn name="Column11922" id="11941"/>
    <tableColumn name="Column11923" id="11942"/>
    <tableColumn name="Column11924" id="11943"/>
    <tableColumn name="Column11925" id="11944"/>
    <tableColumn name="Column11926" id="11945"/>
    <tableColumn name="Column11927" id="11946"/>
    <tableColumn name="Column11928" id="11947"/>
    <tableColumn name="Column11929" id="11948"/>
    <tableColumn name="Column11930" id="11949"/>
    <tableColumn name="Column11931" id="11950"/>
    <tableColumn name="Column11932" id="11951"/>
    <tableColumn name="Column11933" id="11952"/>
    <tableColumn name="Column11934" id="11953"/>
    <tableColumn name="Column11935" id="11954"/>
    <tableColumn name="Column11936" id="11955"/>
    <tableColumn name="Column11937" id="11956"/>
    <tableColumn name="Column11938" id="11957"/>
    <tableColumn name="Column11939" id="11958"/>
    <tableColumn name="Column11940" id="11959"/>
    <tableColumn name="Column11941" id="11960"/>
    <tableColumn name="Column11942" id="11961"/>
    <tableColumn name="Column11943" id="11962"/>
    <tableColumn name="Column11944" id="11963"/>
    <tableColumn name="Column11945" id="11964"/>
    <tableColumn name="Column11946" id="11965"/>
    <tableColumn name="Column11947" id="11966"/>
    <tableColumn name="Column11948" id="11967"/>
    <tableColumn name="Column11949" id="11968"/>
    <tableColumn name="Column11950" id="11969"/>
    <tableColumn name="Column11951" id="11970"/>
    <tableColumn name="Column11952" id="11971"/>
    <tableColumn name="Column11953" id="11972"/>
    <tableColumn name="Column11954" id="11973"/>
    <tableColumn name="Column11955" id="11974"/>
    <tableColumn name="Column11956" id="11975"/>
    <tableColumn name="Column11957" id="11976"/>
    <tableColumn name="Column11958" id="11977"/>
    <tableColumn name="Column11959" id="11978"/>
    <tableColumn name="Column11960" id="11979"/>
    <tableColumn name="Column11961" id="11980"/>
    <tableColumn name="Column11962" id="11981"/>
    <tableColumn name="Column11963" id="11982"/>
    <tableColumn name="Column11964" id="11983"/>
    <tableColumn name="Column11965" id="11984"/>
    <tableColumn name="Column11966" id="11985"/>
    <tableColumn name="Column11967" id="11986"/>
    <tableColumn name="Column11968" id="11987"/>
    <tableColumn name="Column11969" id="11988"/>
    <tableColumn name="Column11970" id="11989"/>
    <tableColumn name="Column11971" id="11990"/>
    <tableColumn name="Column11972" id="11991"/>
    <tableColumn name="Column11973" id="11992"/>
    <tableColumn name="Column11974" id="11993"/>
    <tableColumn name="Column11975" id="11994"/>
    <tableColumn name="Column11976" id="11995"/>
    <tableColumn name="Column11977" id="11996"/>
    <tableColumn name="Column11978" id="11997"/>
    <tableColumn name="Column11979" id="11998"/>
    <tableColumn name="Column11980" id="11999"/>
    <tableColumn name="Column11981" id="12000"/>
    <tableColumn name="Column11982" id="12001"/>
    <tableColumn name="Column11983" id="12002"/>
    <tableColumn name="Column11984" id="12003"/>
    <tableColumn name="Column11985" id="12004"/>
    <tableColumn name="Column11986" id="12005"/>
    <tableColumn name="Column11987" id="12006"/>
    <tableColumn name="Column11988" id="12007"/>
    <tableColumn name="Column11989" id="12008"/>
    <tableColumn name="Column11990" id="12009"/>
    <tableColumn name="Column11991" id="12010"/>
    <tableColumn name="Column11992" id="12011"/>
    <tableColumn name="Column11993" id="12012"/>
    <tableColumn name="Column11994" id="12013"/>
    <tableColumn name="Column11995" id="12014"/>
    <tableColumn name="Column11996" id="12015"/>
    <tableColumn name="Column11997" id="12016"/>
    <tableColumn name="Column11998" id="12017"/>
    <tableColumn name="Column11999" id="12018"/>
    <tableColumn name="Column12000" id="12019"/>
    <tableColumn name="Column12001" id="12020"/>
    <tableColumn name="Column12002" id="12021"/>
    <tableColumn name="Column12003" id="12022"/>
    <tableColumn name="Column12004" id="12023"/>
    <tableColumn name="Column12005" id="12024"/>
    <tableColumn name="Column12006" id="12025"/>
    <tableColumn name="Column12007" id="12026"/>
    <tableColumn name="Column12008" id="12027"/>
    <tableColumn name="Column12009" id="12028"/>
    <tableColumn name="Column12010" id="12029"/>
    <tableColumn name="Column12011" id="12030"/>
    <tableColumn name="Column12012" id="12031"/>
    <tableColumn name="Column12013" id="12032"/>
    <tableColumn name="Column12014" id="12033"/>
    <tableColumn name="Column12015" id="12034"/>
    <tableColumn name="Column12016" id="12035"/>
    <tableColumn name="Column12017" id="12036"/>
    <tableColumn name="Column12018" id="12037"/>
    <tableColumn name="Column12019" id="12038"/>
    <tableColumn name="Column12020" id="12039"/>
    <tableColumn name="Column12021" id="12040"/>
    <tableColumn name="Column12022" id="12041"/>
    <tableColumn name="Column12023" id="12042"/>
    <tableColumn name="Column12024" id="12043"/>
    <tableColumn name="Column12025" id="12044"/>
    <tableColumn name="Column12026" id="12045"/>
    <tableColumn name="Column12027" id="12046"/>
    <tableColumn name="Column12028" id="12047"/>
    <tableColumn name="Column12029" id="12048"/>
    <tableColumn name="Column12030" id="12049"/>
    <tableColumn name="Column12031" id="12050"/>
    <tableColumn name="Column12032" id="12051"/>
    <tableColumn name="Column12033" id="12052"/>
    <tableColumn name="Column12034" id="12053"/>
    <tableColumn name="Column12035" id="12054"/>
    <tableColumn name="Column12036" id="12055"/>
    <tableColumn name="Column12037" id="12056"/>
    <tableColumn name="Column12038" id="12057"/>
    <tableColumn name="Column12039" id="12058"/>
    <tableColumn name="Column12040" id="12059"/>
    <tableColumn name="Column12041" id="12060"/>
    <tableColumn name="Column12042" id="12061"/>
    <tableColumn name="Column12043" id="12062"/>
    <tableColumn name="Column12044" id="12063"/>
    <tableColumn name="Column12045" id="12064"/>
    <tableColumn name="Column12046" id="12065"/>
    <tableColumn name="Column12047" id="12066"/>
    <tableColumn name="Column12048" id="12067"/>
    <tableColumn name="Column12049" id="12068"/>
    <tableColumn name="Column12050" id="12069"/>
    <tableColumn name="Column12051" id="12070"/>
    <tableColumn name="Column12052" id="12071"/>
    <tableColumn name="Column12053" id="12072"/>
    <tableColumn name="Column12054" id="12073"/>
    <tableColumn name="Column12055" id="12074"/>
    <tableColumn name="Column12056" id="12075"/>
    <tableColumn name="Column12057" id="12076"/>
    <tableColumn name="Column12058" id="12077"/>
    <tableColumn name="Column12059" id="12078"/>
    <tableColumn name="Column12060" id="12079"/>
    <tableColumn name="Column12061" id="12080"/>
    <tableColumn name="Column12062" id="12081"/>
    <tableColumn name="Column12063" id="12082"/>
    <tableColumn name="Column12064" id="12083"/>
    <tableColumn name="Column12065" id="12084"/>
    <tableColumn name="Column12066" id="12085"/>
    <tableColumn name="Column12067" id="12086"/>
    <tableColumn name="Column12068" id="12087"/>
    <tableColumn name="Column12069" id="12088"/>
    <tableColumn name="Column12070" id="12089"/>
    <tableColumn name="Column12071" id="12090"/>
    <tableColumn name="Column12072" id="12091"/>
    <tableColumn name="Column12073" id="12092"/>
    <tableColumn name="Column12074" id="12093"/>
    <tableColumn name="Column12075" id="12094"/>
    <tableColumn name="Column12076" id="12095"/>
    <tableColumn name="Column12077" id="12096"/>
    <tableColumn name="Column12078" id="12097"/>
    <tableColumn name="Column12079" id="12098"/>
    <tableColumn name="Column12080" id="12099"/>
    <tableColumn name="Column12081" id="12100"/>
    <tableColumn name="Column12082" id="12101"/>
    <tableColumn name="Column12083" id="12102"/>
    <tableColumn name="Column12084" id="12103"/>
    <tableColumn name="Column12085" id="12104"/>
    <tableColumn name="Column12086" id="12105"/>
    <tableColumn name="Column12087" id="12106"/>
    <tableColumn name="Column12088" id="12107"/>
    <tableColumn name="Column12089" id="12108"/>
    <tableColumn name="Column12090" id="12109"/>
    <tableColumn name="Column12091" id="12110"/>
    <tableColumn name="Column12092" id="12111"/>
    <tableColumn name="Column12093" id="12112"/>
    <tableColumn name="Column12094" id="12113"/>
    <tableColumn name="Column12095" id="12114"/>
    <tableColumn name="Column12096" id="12115"/>
    <tableColumn name="Column12097" id="12116"/>
    <tableColumn name="Column12098" id="12117"/>
    <tableColumn name="Column12099" id="12118"/>
    <tableColumn name="Column12100" id="12119"/>
    <tableColumn name="Column12101" id="12120"/>
    <tableColumn name="Column12102" id="12121"/>
    <tableColumn name="Column12103" id="12122"/>
    <tableColumn name="Column12104" id="12123"/>
    <tableColumn name="Column12105" id="12124"/>
    <tableColumn name="Column12106" id="12125"/>
    <tableColumn name="Column12107" id="12126"/>
    <tableColumn name="Column12108" id="12127"/>
    <tableColumn name="Column12109" id="12128"/>
    <tableColumn name="Column12110" id="12129"/>
    <tableColumn name="Column12111" id="12130"/>
    <tableColumn name="Column12112" id="12131"/>
    <tableColumn name="Column12113" id="12132"/>
    <tableColumn name="Column12114" id="12133"/>
    <tableColumn name="Column12115" id="12134"/>
    <tableColumn name="Column12116" id="12135"/>
    <tableColumn name="Column12117" id="12136"/>
    <tableColumn name="Column12118" id="12137"/>
    <tableColumn name="Column12119" id="12138"/>
    <tableColumn name="Column12120" id="12139"/>
    <tableColumn name="Column12121" id="12140"/>
    <tableColumn name="Column12122" id="12141"/>
    <tableColumn name="Column12123" id="12142"/>
    <tableColumn name="Column12124" id="12143"/>
    <tableColumn name="Column12125" id="12144"/>
    <tableColumn name="Column12126" id="12145"/>
    <tableColumn name="Column12127" id="12146"/>
    <tableColumn name="Column12128" id="12147"/>
    <tableColumn name="Column12129" id="12148"/>
    <tableColumn name="Column12130" id="12149"/>
    <tableColumn name="Column12131" id="12150"/>
    <tableColumn name="Column12132" id="12151"/>
    <tableColumn name="Column12133" id="12152"/>
    <tableColumn name="Column12134" id="12153"/>
    <tableColumn name="Column12135" id="12154"/>
    <tableColumn name="Column12136" id="12155"/>
    <tableColumn name="Column12137" id="12156"/>
    <tableColumn name="Column12138" id="12157"/>
    <tableColumn name="Column12139" id="12158"/>
    <tableColumn name="Column12140" id="12159"/>
    <tableColumn name="Column12141" id="12160"/>
    <tableColumn name="Column12142" id="12161"/>
    <tableColumn name="Column12143" id="12162"/>
    <tableColumn name="Column12144" id="12163"/>
    <tableColumn name="Column12145" id="12164"/>
    <tableColumn name="Column12146" id="12165"/>
    <tableColumn name="Column12147" id="12166"/>
    <tableColumn name="Column12148" id="12167"/>
    <tableColumn name="Column12149" id="12168"/>
    <tableColumn name="Column12150" id="12169"/>
    <tableColumn name="Column12151" id="12170"/>
    <tableColumn name="Column12152" id="12171"/>
    <tableColumn name="Column12153" id="12172"/>
    <tableColumn name="Column12154" id="12173"/>
    <tableColumn name="Column12155" id="12174"/>
    <tableColumn name="Column12156" id="12175"/>
    <tableColumn name="Column12157" id="12176"/>
    <tableColumn name="Column12158" id="12177"/>
    <tableColumn name="Column12159" id="12178"/>
    <tableColumn name="Column12160" id="12179"/>
    <tableColumn name="Column12161" id="12180"/>
    <tableColumn name="Column12162" id="12181"/>
    <tableColumn name="Column12163" id="12182"/>
    <tableColumn name="Column12164" id="12183"/>
    <tableColumn name="Column12165" id="12184"/>
    <tableColumn name="Column12166" id="12185"/>
    <tableColumn name="Column12167" id="12186"/>
    <tableColumn name="Column12168" id="12187"/>
    <tableColumn name="Column12169" id="12188"/>
    <tableColumn name="Column12170" id="12189"/>
    <tableColumn name="Column12171" id="12190"/>
    <tableColumn name="Column12172" id="12191"/>
    <tableColumn name="Column12173" id="12192"/>
    <tableColumn name="Column12174" id="12193"/>
    <tableColumn name="Column12175" id="12194"/>
    <tableColumn name="Column12176" id="12195"/>
    <tableColumn name="Column12177" id="12196"/>
    <tableColumn name="Column12178" id="12197"/>
    <tableColumn name="Column12179" id="12198"/>
    <tableColumn name="Column12180" id="12199"/>
    <tableColumn name="Column12181" id="12200"/>
    <tableColumn name="Column12182" id="12201"/>
    <tableColumn name="Column12183" id="12202"/>
    <tableColumn name="Column12184" id="12203"/>
    <tableColumn name="Column12185" id="12204"/>
    <tableColumn name="Column12186" id="12205"/>
    <tableColumn name="Column12187" id="12206"/>
    <tableColumn name="Column12188" id="12207"/>
    <tableColumn name="Column12189" id="12208"/>
    <tableColumn name="Column12190" id="12209"/>
    <tableColumn name="Column12191" id="12210"/>
    <tableColumn name="Column12192" id="12211"/>
    <tableColumn name="Column12193" id="12212"/>
    <tableColumn name="Column12194" id="12213"/>
    <tableColumn name="Column12195" id="12214"/>
    <tableColumn name="Column12196" id="12215"/>
    <tableColumn name="Column12197" id="12216"/>
    <tableColumn name="Column12198" id="12217"/>
    <tableColumn name="Column12199" id="12218"/>
    <tableColumn name="Column12200" id="12219"/>
    <tableColumn name="Column12201" id="12220"/>
    <tableColumn name="Column12202" id="12221"/>
    <tableColumn name="Column12203" id="12222"/>
    <tableColumn name="Column12204" id="12223"/>
    <tableColumn name="Column12205" id="12224"/>
    <tableColumn name="Column12206" id="12225"/>
    <tableColumn name="Column12207" id="12226"/>
    <tableColumn name="Column12208" id="12227"/>
    <tableColumn name="Column12209" id="12228"/>
    <tableColumn name="Column12210" id="12229"/>
    <tableColumn name="Column12211" id="12230"/>
    <tableColumn name="Column12212" id="12231"/>
    <tableColumn name="Column12213" id="12232"/>
    <tableColumn name="Column12214" id="12233"/>
    <tableColumn name="Column12215" id="12234"/>
    <tableColumn name="Column12216" id="12235"/>
    <tableColumn name="Column12217" id="12236"/>
    <tableColumn name="Column12218" id="12237"/>
    <tableColumn name="Column12219" id="12238"/>
    <tableColumn name="Column12220" id="12239"/>
    <tableColumn name="Column12221" id="12240"/>
    <tableColumn name="Column12222" id="12241"/>
    <tableColumn name="Column12223" id="12242"/>
    <tableColumn name="Column12224" id="12243"/>
    <tableColumn name="Column12225" id="12244"/>
    <tableColumn name="Column12226" id="12245"/>
    <tableColumn name="Column12227" id="12246"/>
    <tableColumn name="Column12228" id="12247"/>
    <tableColumn name="Column12229" id="12248"/>
    <tableColumn name="Column12230" id="12249"/>
    <tableColumn name="Column12231" id="12250"/>
    <tableColumn name="Column12232" id="12251"/>
    <tableColumn name="Column12233" id="12252"/>
    <tableColumn name="Column12234" id="12253"/>
    <tableColumn name="Column12235" id="12254"/>
    <tableColumn name="Column12236" id="12255"/>
    <tableColumn name="Column12237" id="12256"/>
    <tableColumn name="Column12238" id="12257"/>
    <tableColumn name="Column12239" id="12258"/>
    <tableColumn name="Column12240" id="12259"/>
    <tableColumn name="Column12241" id="12260"/>
    <tableColumn name="Column12242" id="12261"/>
    <tableColumn name="Column12243" id="12262"/>
    <tableColumn name="Column12244" id="12263"/>
    <tableColumn name="Column12245" id="12264"/>
    <tableColumn name="Column12246" id="12265"/>
    <tableColumn name="Column12247" id="12266"/>
    <tableColumn name="Column12248" id="12267"/>
    <tableColumn name="Column12249" id="12268"/>
    <tableColumn name="Column12250" id="12269"/>
    <tableColumn name="Column12251" id="12270"/>
    <tableColumn name="Column12252" id="12271"/>
    <tableColumn name="Column12253" id="12272"/>
    <tableColumn name="Column12254" id="12273"/>
    <tableColumn name="Column12255" id="12274"/>
    <tableColumn name="Column12256" id="12275"/>
    <tableColumn name="Column12257" id="12276"/>
    <tableColumn name="Column12258" id="12277"/>
    <tableColumn name="Column12259" id="12278"/>
    <tableColumn name="Column12260" id="12279"/>
    <tableColumn name="Column12261" id="12280"/>
    <tableColumn name="Column12262" id="12281"/>
    <tableColumn name="Column12263" id="12282"/>
    <tableColumn name="Column12264" id="12283"/>
    <tableColumn name="Column12265" id="12284"/>
    <tableColumn name="Column12266" id="12285"/>
    <tableColumn name="Column12267" id="12286"/>
    <tableColumn name="Column12268" id="12287"/>
    <tableColumn name="Column12269" id="12288"/>
    <tableColumn name="Column12270" id="12289"/>
    <tableColumn name="Column12271" id="12290"/>
    <tableColumn name="Column12272" id="12291"/>
    <tableColumn name="Column12273" id="12292"/>
    <tableColumn name="Column12274" id="12293"/>
    <tableColumn name="Column12275" id="12294"/>
    <tableColumn name="Column12276" id="12295"/>
    <tableColumn name="Column12277" id="12296"/>
    <tableColumn name="Column12278" id="12297"/>
    <tableColumn name="Column12279" id="12298"/>
    <tableColumn name="Column12280" id="12299"/>
    <tableColumn name="Column12281" id="12300"/>
    <tableColumn name="Column12282" id="12301"/>
    <tableColumn name="Column12283" id="12302"/>
    <tableColumn name="Column12284" id="12303"/>
    <tableColumn name="Column12285" id="12304"/>
    <tableColumn name="Column12286" id="12305"/>
    <tableColumn name="Column12287" id="12306"/>
    <tableColumn name="Column12288" id="12307"/>
    <tableColumn name="Column12289" id="12308"/>
    <tableColumn name="Column12290" id="12309"/>
    <tableColumn name="Column12291" id="12310"/>
    <tableColumn name="Column12292" id="12311"/>
    <tableColumn name="Column12293" id="12312"/>
    <tableColumn name="Column12294" id="12313"/>
    <tableColumn name="Column12295" id="12314"/>
    <tableColumn name="Column12296" id="12315"/>
    <tableColumn name="Column12297" id="12316"/>
    <tableColumn name="Column12298" id="12317"/>
    <tableColumn name="Column12299" id="12318"/>
    <tableColumn name="Column12300" id="12319"/>
    <tableColumn name="Column12301" id="12320"/>
    <tableColumn name="Column12302" id="12321"/>
    <tableColumn name="Column12303" id="12322"/>
    <tableColumn name="Column12304" id="12323"/>
    <tableColumn name="Column12305" id="12324"/>
    <tableColumn name="Column12306" id="12325"/>
    <tableColumn name="Column12307" id="12326"/>
    <tableColumn name="Column12308" id="12327"/>
    <tableColumn name="Column12309" id="12328"/>
    <tableColumn name="Column12310" id="12329"/>
    <tableColumn name="Column12311" id="12330"/>
    <tableColumn name="Column12312" id="12331"/>
    <tableColumn name="Column12313" id="12332"/>
    <tableColumn name="Column12314" id="12333"/>
    <tableColumn name="Column12315" id="12334"/>
    <tableColumn name="Column12316" id="12335"/>
    <tableColumn name="Column12317" id="12336"/>
    <tableColumn name="Column12318" id="12337"/>
    <tableColumn name="Column12319" id="12338"/>
    <tableColumn name="Column12320" id="12339"/>
    <tableColumn name="Column12321" id="12340"/>
    <tableColumn name="Column12322" id="12341"/>
    <tableColumn name="Column12323" id="12342"/>
    <tableColumn name="Column12324" id="12343"/>
    <tableColumn name="Column12325" id="12344"/>
    <tableColumn name="Column12326" id="12345"/>
    <tableColumn name="Column12327" id="12346"/>
    <tableColumn name="Column12328" id="12347"/>
    <tableColumn name="Column12329" id="12348"/>
    <tableColumn name="Column12330" id="12349"/>
    <tableColumn name="Column12331" id="12350"/>
    <tableColumn name="Column12332" id="12351"/>
    <tableColumn name="Column12333" id="12352"/>
    <tableColumn name="Column12334" id="12353"/>
    <tableColumn name="Column12335" id="12354"/>
    <tableColumn name="Column12336" id="12355"/>
    <tableColumn name="Column12337" id="12356"/>
    <tableColumn name="Column12338" id="12357"/>
    <tableColumn name="Column12339" id="12358"/>
    <tableColumn name="Column12340" id="12359"/>
    <tableColumn name="Column12341" id="12360"/>
    <tableColumn name="Column12342" id="12361"/>
    <tableColumn name="Column12343" id="12362"/>
    <tableColumn name="Column12344" id="12363"/>
    <tableColumn name="Column12345" id="12364"/>
    <tableColumn name="Column12346" id="12365"/>
    <tableColumn name="Column12347" id="12366"/>
    <tableColumn name="Column12348" id="12367"/>
    <tableColumn name="Column12349" id="12368"/>
    <tableColumn name="Column12350" id="12369"/>
    <tableColumn name="Column12351" id="12370"/>
    <tableColumn name="Column12352" id="12371"/>
    <tableColumn name="Column12353" id="12372"/>
    <tableColumn name="Column12354" id="12373"/>
    <tableColumn name="Column12355" id="12374"/>
    <tableColumn name="Column12356" id="12375"/>
    <tableColumn name="Column12357" id="12376"/>
    <tableColumn name="Column12358" id="12377"/>
    <tableColumn name="Column12359" id="12378"/>
    <tableColumn name="Column12360" id="12379"/>
    <tableColumn name="Column12361" id="12380"/>
    <tableColumn name="Column12362" id="12381"/>
    <tableColumn name="Column12363" id="12382"/>
    <tableColumn name="Column12364" id="12383"/>
    <tableColumn name="Column12365" id="12384"/>
    <tableColumn name="Column12366" id="12385"/>
    <tableColumn name="Column12367" id="12386"/>
    <tableColumn name="Column12368" id="12387"/>
    <tableColumn name="Column12369" id="12388"/>
    <tableColumn name="Column12370" id="12389"/>
    <tableColumn name="Column12371" id="12390"/>
    <tableColumn name="Column12372" id="12391"/>
    <tableColumn name="Column12373" id="12392"/>
    <tableColumn name="Column12374" id="12393"/>
    <tableColumn name="Column12375" id="12394"/>
    <tableColumn name="Column12376" id="12395"/>
    <tableColumn name="Column12377" id="12396"/>
    <tableColumn name="Column12378" id="12397"/>
    <tableColumn name="Column12379" id="12398"/>
    <tableColumn name="Column12380" id="12399"/>
    <tableColumn name="Column12381" id="12400"/>
    <tableColumn name="Column12382" id="12401"/>
    <tableColumn name="Column12383" id="12402"/>
    <tableColumn name="Column12384" id="12403"/>
    <tableColumn name="Column12385" id="12404"/>
    <tableColumn name="Column12386" id="12405"/>
    <tableColumn name="Column12387" id="12406"/>
    <tableColumn name="Column12388" id="12407"/>
    <tableColumn name="Column12389" id="12408"/>
    <tableColumn name="Column12390" id="12409"/>
    <tableColumn name="Column12391" id="12410"/>
    <tableColumn name="Column12392" id="12411"/>
    <tableColumn name="Column12393" id="12412"/>
    <tableColumn name="Column12394" id="12413"/>
    <tableColumn name="Column12395" id="12414"/>
    <tableColumn name="Column12396" id="12415"/>
    <tableColumn name="Column12397" id="12416"/>
    <tableColumn name="Column12398" id="12417"/>
    <tableColumn name="Column12399" id="12418"/>
    <tableColumn name="Column12400" id="12419"/>
    <tableColumn name="Column12401" id="12420"/>
    <tableColumn name="Column12402" id="12421"/>
    <tableColumn name="Column12403" id="12422"/>
    <tableColumn name="Column12404" id="12423"/>
    <tableColumn name="Column12405" id="12424"/>
    <tableColumn name="Column12406" id="12425"/>
    <tableColumn name="Column12407" id="12426"/>
    <tableColumn name="Column12408" id="12427"/>
    <tableColumn name="Column12409" id="12428"/>
    <tableColumn name="Column12410" id="12429"/>
    <tableColumn name="Column12411" id="12430"/>
    <tableColumn name="Column12412" id="12431"/>
    <tableColumn name="Column12413" id="12432"/>
    <tableColumn name="Column12414" id="12433"/>
    <tableColumn name="Column12415" id="12434"/>
    <tableColumn name="Column12416" id="12435"/>
    <tableColumn name="Column12417" id="12436"/>
    <tableColumn name="Column12418" id="12437"/>
    <tableColumn name="Column12419" id="12438"/>
    <tableColumn name="Column12420" id="12439"/>
    <tableColumn name="Column12421" id="12440"/>
    <tableColumn name="Column12422" id="12441"/>
    <tableColumn name="Column12423" id="12442"/>
    <tableColumn name="Column12424" id="12443"/>
    <tableColumn name="Column12425" id="12444"/>
    <tableColumn name="Column12426" id="12445"/>
    <tableColumn name="Column12427" id="12446"/>
    <tableColumn name="Column12428" id="12447"/>
    <tableColumn name="Column12429" id="12448"/>
    <tableColumn name="Column12430" id="12449"/>
    <tableColumn name="Column12431" id="12450"/>
    <tableColumn name="Column12432" id="12451"/>
    <tableColumn name="Column12433" id="12452"/>
    <tableColumn name="Column12434" id="12453"/>
    <tableColumn name="Column12435" id="12454"/>
    <tableColumn name="Column12436" id="12455"/>
    <tableColumn name="Column12437" id="12456"/>
    <tableColumn name="Column12438" id="12457"/>
    <tableColumn name="Column12439" id="12458"/>
    <tableColumn name="Column12440" id="12459"/>
    <tableColumn name="Column12441" id="12460"/>
    <tableColumn name="Column12442" id="12461"/>
    <tableColumn name="Column12443" id="12462"/>
    <tableColumn name="Column12444" id="12463"/>
    <tableColumn name="Column12445" id="12464"/>
    <tableColumn name="Column12446" id="12465"/>
    <tableColumn name="Column12447" id="12466"/>
    <tableColumn name="Column12448" id="12467"/>
    <tableColumn name="Column12449" id="12468"/>
    <tableColumn name="Column12450" id="12469"/>
    <tableColumn name="Column12451" id="12470"/>
    <tableColumn name="Column12452" id="12471"/>
    <tableColumn name="Column12453" id="12472"/>
    <tableColumn name="Column12454" id="12473"/>
    <tableColumn name="Column12455" id="12474"/>
    <tableColumn name="Column12456" id="12475"/>
    <tableColumn name="Column12457" id="12476"/>
    <tableColumn name="Column12458" id="12477"/>
    <tableColumn name="Column12459" id="12478"/>
    <tableColumn name="Column12460" id="12479"/>
    <tableColumn name="Column12461" id="12480"/>
    <tableColumn name="Column12462" id="12481"/>
    <tableColumn name="Column12463" id="12482"/>
    <tableColumn name="Column12464" id="12483"/>
    <tableColumn name="Column12465" id="12484"/>
    <tableColumn name="Column12466" id="12485"/>
    <tableColumn name="Column12467" id="12486"/>
    <tableColumn name="Column12468" id="12487"/>
    <tableColumn name="Column12469" id="12488"/>
    <tableColumn name="Column12470" id="12489"/>
    <tableColumn name="Column12471" id="12490"/>
    <tableColumn name="Column12472" id="12491"/>
    <tableColumn name="Column12473" id="12492"/>
    <tableColumn name="Column12474" id="12493"/>
    <tableColumn name="Column12475" id="12494"/>
    <tableColumn name="Column12476" id="12495"/>
    <tableColumn name="Column12477" id="12496"/>
    <tableColumn name="Column12478" id="12497"/>
    <tableColumn name="Column12479" id="12498"/>
    <tableColumn name="Column12480" id="12499"/>
    <tableColumn name="Column12481" id="12500"/>
    <tableColumn name="Column12482" id="12501"/>
    <tableColumn name="Column12483" id="12502"/>
    <tableColumn name="Column12484" id="12503"/>
    <tableColumn name="Column12485" id="12504"/>
    <tableColumn name="Column12486" id="12505"/>
    <tableColumn name="Column12487" id="12506"/>
    <tableColumn name="Column12488" id="12507"/>
    <tableColumn name="Column12489" id="12508"/>
    <tableColumn name="Column12490" id="12509"/>
    <tableColumn name="Column12491" id="12510"/>
    <tableColumn name="Column12492" id="12511"/>
    <tableColumn name="Column12493" id="12512"/>
    <tableColumn name="Column12494" id="12513"/>
    <tableColumn name="Column12495" id="12514"/>
    <tableColumn name="Column12496" id="12515"/>
    <tableColumn name="Column12497" id="12516"/>
    <tableColumn name="Column12498" id="12517"/>
    <tableColumn name="Column12499" id="12518"/>
    <tableColumn name="Column12500" id="12519"/>
    <tableColumn name="Column12501" id="12520"/>
    <tableColumn name="Column12502" id="12521"/>
    <tableColumn name="Column12503" id="12522"/>
    <tableColumn name="Column12504" id="12523"/>
    <tableColumn name="Column12505" id="12524"/>
    <tableColumn name="Column12506" id="12525"/>
    <tableColumn name="Column12507" id="12526"/>
    <tableColumn name="Column12508" id="12527"/>
    <tableColumn name="Column12509" id="12528"/>
    <tableColumn name="Column12510" id="12529"/>
    <tableColumn name="Column12511" id="12530"/>
    <tableColumn name="Column12512" id="12531"/>
    <tableColumn name="Column12513" id="12532"/>
    <tableColumn name="Column12514" id="12533"/>
    <tableColumn name="Column12515" id="12534"/>
    <tableColumn name="Column12516" id="12535"/>
    <tableColumn name="Column12517" id="12536"/>
    <tableColumn name="Column12518" id="12537"/>
    <tableColumn name="Column12519" id="12538"/>
    <tableColumn name="Column12520" id="12539"/>
    <tableColumn name="Column12521" id="12540"/>
    <tableColumn name="Column12522" id="12541"/>
    <tableColumn name="Column12523" id="12542"/>
    <tableColumn name="Column12524" id="12543"/>
    <tableColumn name="Column12525" id="12544"/>
    <tableColumn name="Column12526" id="12545"/>
    <tableColumn name="Column12527" id="12546"/>
    <tableColumn name="Column12528" id="12547"/>
    <tableColumn name="Column12529" id="12548"/>
    <tableColumn name="Column12530" id="12549"/>
    <tableColumn name="Column12531" id="12550"/>
    <tableColumn name="Column12532" id="12551"/>
    <tableColumn name="Column12533" id="12552"/>
    <tableColumn name="Column12534" id="12553"/>
    <tableColumn name="Column12535" id="12554"/>
    <tableColumn name="Column12536" id="12555"/>
    <tableColumn name="Column12537" id="12556"/>
    <tableColumn name="Column12538" id="12557"/>
    <tableColumn name="Column12539" id="12558"/>
    <tableColumn name="Column12540" id="12559"/>
    <tableColumn name="Column12541" id="12560"/>
    <tableColumn name="Column12542" id="12561"/>
    <tableColumn name="Column12543" id="12562"/>
    <tableColumn name="Column12544" id="12563"/>
    <tableColumn name="Column12545" id="12564"/>
    <tableColumn name="Column12546" id="12565"/>
    <tableColumn name="Column12547" id="12566"/>
    <tableColumn name="Column12548" id="12567"/>
    <tableColumn name="Column12549" id="12568"/>
    <tableColumn name="Column12550" id="12569"/>
    <tableColumn name="Column12551" id="12570"/>
    <tableColumn name="Column12552" id="12571"/>
    <tableColumn name="Column12553" id="12572"/>
    <tableColumn name="Column12554" id="12573"/>
    <tableColumn name="Column12555" id="12574"/>
    <tableColumn name="Column12556" id="12575"/>
    <tableColumn name="Column12557" id="12576"/>
    <tableColumn name="Column12558" id="12577"/>
    <tableColumn name="Column12559" id="12578"/>
    <tableColumn name="Column12560" id="12579"/>
    <tableColumn name="Column12561" id="12580"/>
    <tableColumn name="Column12562" id="12581"/>
    <tableColumn name="Column12563" id="12582"/>
    <tableColumn name="Column12564" id="12583"/>
    <tableColumn name="Column12565" id="12584"/>
    <tableColumn name="Column12566" id="12585"/>
    <tableColumn name="Column12567" id="12586"/>
    <tableColumn name="Column12568" id="12587"/>
    <tableColumn name="Column12569" id="12588"/>
    <tableColumn name="Column12570" id="12589"/>
    <tableColumn name="Column12571" id="12590"/>
    <tableColumn name="Column12572" id="12591"/>
    <tableColumn name="Column12573" id="12592"/>
    <tableColumn name="Column12574" id="12593"/>
    <tableColumn name="Column12575" id="12594"/>
    <tableColumn name="Column12576" id="12595"/>
    <tableColumn name="Column12577" id="12596"/>
    <tableColumn name="Column12578" id="12597"/>
    <tableColumn name="Column12579" id="12598"/>
    <tableColumn name="Column12580" id="12599"/>
    <tableColumn name="Column12581" id="12600"/>
    <tableColumn name="Column12582" id="12601"/>
    <tableColumn name="Column12583" id="12602"/>
    <tableColumn name="Column12584" id="12603"/>
    <tableColumn name="Column12585" id="12604"/>
    <tableColumn name="Column12586" id="12605"/>
    <tableColumn name="Column12587" id="12606"/>
    <tableColumn name="Column12588" id="12607"/>
    <tableColumn name="Column12589" id="12608"/>
    <tableColumn name="Column12590" id="12609"/>
    <tableColumn name="Column12591" id="12610"/>
    <tableColumn name="Column12592" id="12611"/>
    <tableColumn name="Column12593" id="12612"/>
    <tableColumn name="Column12594" id="12613"/>
    <tableColumn name="Column12595" id="12614"/>
    <tableColumn name="Column12596" id="12615"/>
    <tableColumn name="Column12597" id="12616"/>
    <tableColumn name="Column12598" id="12617"/>
    <tableColumn name="Column12599" id="12618"/>
    <tableColumn name="Column12600" id="12619"/>
    <tableColumn name="Column12601" id="12620"/>
    <tableColumn name="Column12602" id="12621"/>
    <tableColumn name="Column12603" id="12622"/>
    <tableColumn name="Column12604" id="12623"/>
    <tableColumn name="Column12605" id="12624"/>
    <tableColumn name="Column12606" id="12625"/>
    <tableColumn name="Column12607" id="12626"/>
    <tableColumn name="Column12608" id="12627"/>
    <tableColumn name="Column12609" id="12628"/>
    <tableColumn name="Column12610" id="12629"/>
    <tableColumn name="Column12611" id="12630"/>
    <tableColumn name="Column12612" id="12631"/>
    <tableColumn name="Column12613" id="12632"/>
    <tableColumn name="Column12614" id="12633"/>
    <tableColumn name="Column12615" id="12634"/>
    <tableColumn name="Column12616" id="12635"/>
    <tableColumn name="Column12617" id="12636"/>
    <tableColumn name="Column12618" id="12637"/>
    <tableColumn name="Column12619" id="12638"/>
    <tableColumn name="Column12620" id="12639"/>
    <tableColumn name="Column12621" id="12640"/>
    <tableColumn name="Column12622" id="12641"/>
    <tableColumn name="Column12623" id="12642"/>
    <tableColumn name="Column12624" id="12643"/>
    <tableColumn name="Column12625" id="12644"/>
    <tableColumn name="Column12626" id="12645"/>
    <tableColumn name="Column12627" id="12646"/>
    <tableColumn name="Column12628" id="12647"/>
    <tableColumn name="Column12629" id="12648"/>
    <tableColumn name="Column12630" id="12649"/>
    <tableColumn name="Column12631" id="12650"/>
    <tableColumn name="Column12632" id="12651"/>
    <tableColumn name="Column12633" id="12652"/>
    <tableColumn name="Column12634" id="12653"/>
    <tableColumn name="Column12635" id="12654"/>
    <tableColumn name="Column12636" id="12655"/>
    <tableColumn name="Column12637" id="12656"/>
    <tableColumn name="Column12638" id="12657"/>
    <tableColumn name="Column12639" id="12658"/>
    <tableColumn name="Column12640" id="12659"/>
    <tableColumn name="Column12641" id="12660"/>
    <tableColumn name="Column12642" id="12661"/>
    <tableColumn name="Column12643" id="12662"/>
    <tableColumn name="Column12644" id="12663"/>
    <tableColumn name="Column12645" id="12664"/>
    <tableColumn name="Column12646" id="12665"/>
    <tableColumn name="Column12647" id="12666"/>
    <tableColumn name="Column12648" id="12667"/>
    <tableColumn name="Column12649" id="12668"/>
    <tableColumn name="Column12650" id="12669"/>
    <tableColumn name="Column12651" id="12670"/>
    <tableColumn name="Column12652" id="12671"/>
    <tableColumn name="Column12653" id="12672"/>
    <tableColumn name="Column12654" id="12673"/>
    <tableColumn name="Column12655" id="12674"/>
    <tableColumn name="Column12656" id="12675"/>
    <tableColumn name="Column12657" id="12676"/>
    <tableColumn name="Column12658" id="12677"/>
    <tableColumn name="Column12659" id="12678"/>
    <tableColumn name="Column12660" id="12679"/>
    <tableColumn name="Column12661" id="12680"/>
    <tableColumn name="Column12662" id="12681"/>
    <tableColumn name="Column12663" id="12682"/>
    <tableColumn name="Column12664" id="12683"/>
    <tableColumn name="Column12665" id="12684"/>
    <tableColumn name="Column12666" id="12685"/>
    <tableColumn name="Column12667" id="12686"/>
    <tableColumn name="Column12668" id="12687"/>
    <tableColumn name="Column12669" id="12688"/>
    <tableColumn name="Column12670" id="12689"/>
    <tableColumn name="Column12671" id="12690"/>
    <tableColumn name="Column12672" id="12691"/>
    <tableColumn name="Column12673" id="12692"/>
    <tableColumn name="Column12674" id="12693"/>
    <tableColumn name="Column12675" id="12694"/>
    <tableColumn name="Column12676" id="12695"/>
    <tableColumn name="Column12677" id="12696"/>
    <tableColumn name="Column12678" id="12697"/>
    <tableColumn name="Column12679" id="12698"/>
    <tableColumn name="Column12680" id="12699"/>
    <tableColumn name="Column12681" id="12700"/>
    <tableColumn name="Column12682" id="12701"/>
    <tableColumn name="Column12683" id="12702"/>
    <tableColumn name="Column12684" id="12703"/>
    <tableColumn name="Column12685" id="12704"/>
    <tableColumn name="Column12686" id="12705"/>
    <tableColumn name="Column12687" id="12706"/>
    <tableColumn name="Column12688" id="12707"/>
    <tableColumn name="Column12689" id="12708"/>
    <tableColumn name="Column12690" id="12709"/>
    <tableColumn name="Column12691" id="12710"/>
    <tableColumn name="Column12692" id="12711"/>
    <tableColumn name="Column12693" id="12712"/>
    <tableColumn name="Column12694" id="12713"/>
    <tableColumn name="Column12695" id="12714"/>
    <tableColumn name="Column12696" id="12715"/>
    <tableColumn name="Column12697" id="12716"/>
    <tableColumn name="Column12698" id="12717"/>
    <tableColumn name="Column12699" id="12718"/>
    <tableColumn name="Column12700" id="12719"/>
    <tableColumn name="Column12701" id="12720"/>
    <tableColumn name="Column12702" id="12721"/>
    <tableColumn name="Column12703" id="12722"/>
    <tableColumn name="Column12704" id="12723"/>
    <tableColumn name="Column12705" id="12724"/>
    <tableColumn name="Column12706" id="12725"/>
    <tableColumn name="Column12707" id="12726"/>
    <tableColumn name="Column12708" id="12727"/>
    <tableColumn name="Column12709" id="12728"/>
    <tableColumn name="Column12710" id="12729"/>
    <tableColumn name="Column12711" id="12730"/>
    <tableColumn name="Column12712" id="12731"/>
    <tableColumn name="Column12713" id="12732"/>
    <tableColumn name="Column12714" id="12733"/>
    <tableColumn name="Column12715" id="12734"/>
    <tableColumn name="Column12716" id="12735"/>
    <tableColumn name="Column12717" id="12736"/>
    <tableColumn name="Column12718" id="12737"/>
    <tableColumn name="Column12719" id="12738"/>
    <tableColumn name="Column12720" id="12739"/>
    <tableColumn name="Column12721" id="12740"/>
    <tableColumn name="Column12722" id="12741"/>
    <tableColumn name="Column12723" id="12742"/>
    <tableColumn name="Column12724" id="12743"/>
    <tableColumn name="Column12725" id="12744"/>
    <tableColumn name="Column12726" id="12745"/>
    <tableColumn name="Column12727" id="12746"/>
    <tableColumn name="Column12728" id="12747"/>
    <tableColumn name="Column12729" id="12748"/>
    <tableColumn name="Column12730" id="12749"/>
    <tableColumn name="Column12731" id="12750"/>
    <tableColumn name="Column12732" id="12751"/>
    <tableColumn name="Column12733" id="12752"/>
    <tableColumn name="Column12734" id="12753"/>
    <tableColumn name="Column12735" id="12754"/>
    <tableColumn name="Column12736" id="12755"/>
    <tableColumn name="Column12737" id="12756"/>
    <tableColumn name="Column12738" id="12757"/>
    <tableColumn name="Column12739" id="12758"/>
    <tableColumn name="Column12740" id="12759"/>
    <tableColumn name="Column12741" id="12760"/>
    <tableColumn name="Column12742" id="12761"/>
    <tableColumn name="Column12743" id="12762"/>
    <tableColumn name="Column12744" id="12763"/>
    <tableColumn name="Column12745" id="12764"/>
    <tableColumn name="Column12746" id="12765"/>
    <tableColumn name="Column12747" id="12766"/>
    <tableColumn name="Column12748" id="12767"/>
    <tableColumn name="Column12749" id="12768"/>
    <tableColumn name="Column12750" id="12769"/>
    <tableColumn name="Column12751" id="12770"/>
    <tableColumn name="Column12752" id="12771"/>
    <tableColumn name="Column12753" id="12772"/>
    <tableColumn name="Column12754" id="12773"/>
    <tableColumn name="Column12755" id="12774"/>
    <tableColumn name="Column12756" id="12775"/>
    <tableColumn name="Column12757" id="12776"/>
    <tableColumn name="Column12758" id="12777"/>
    <tableColumn name="Column12759" id="12778"/>
    <tableColumn name="Column12760" id="12779"/>
    <tableColumn name="Column12761" id="12780"/>
    <tableColumn name="Column12762" id="12781"/>
    <tableColumn name="Column12763" id="12782"/>
    <tableColumn name="Column12764" id="12783"/>
    <tableColumn name="Column12765" id="12784"/>
    <tableColumn name="Column12766" id="12785"/>
    <tableColumn name="Column12767" id="12786"/>
    <tableColumn name="Column12768" id="12787"/>
    <tableColumn name="Column12769" id="12788"/>
    <tableColumn name="Column12770" id="12789"/>
    <tableColumn name="Column12771" id="12790"/>
    <tableColumn name="Column12772" id="12791"/>
    <tableColumn name="Column12773" id="12792"/>
    <tableColumn name="Column12774" id="12793"/>
    <tableColumn name="Column12775" id="12794"/>
    <tableColumn name="Column12776" id="12795"/>
    <tableColumn name="Column12777" id="12796"/>
    <tableColumn name="Column12778" id="12797"/>
    <tableColumn name="Column12779" id="12798"/>
    <tableColumn name="Column12780" id="12799"/>
    <tableColumn name="Column12781" id="12800"/>
    <tableColumn name="Column12782" id="12801"/>
    <tableColumn name="Column12783" id="12802"/>
    <tableColumn name="Column12784" id="12803"/>
    <tableColumn name="Column12785" id="12804"/>
    <tableColumn name="Column12786" id="12805"/>
    <tableColumn name="Column12787" id="12806"/>
    <tableColumn name="Column12788" id="12807"/>
    <tableColumn name="Column12789" id="12808"/>
    <tableColumn name="Column12790" id="12809"/>
    <tableColumn name="Column12791" id="12810"/>
    <tableColumn name="Column12792" id="12811"/>
    <tableColumn name="Column12793" id="12812"/>
    <tableColumn name="Column12794" id="12813"/>
    <tableColumn name="Column12795" id="12814"/>
    <tableColumn name="Column12796" id="12815"/>
    <tableColumn name="Column12797" id="12816"/>
    <tableColumn name="Column12798" id="12817"/>
    <tableColumn name="Column12799" id="12818"/>
    <tableColumn name="Column12800" id="12819"/>
    <tableColumn name="Column12801" id="12820"/>
    <tableColumn name="Column12802" id="12821"/>
    <tableColumn name="Column12803" id="12822"/>
    <tableColumn name="Column12804" id="12823"/>
    <tableColumn name="Column12805" id="12824"/>
    <tableColumn name="Column12806" id="12825"/>
    <tableColumn name="Column12807" id="12826"/>
    <tableColumn name="Column12808" id="12827"/>
    <tableColumn name="Column12809" id="12828"/>
    <tableColumn name="Column12810" id="12829"/>
    <tableColumn name="Column12811" id="12830"/>
    <tableColumn name="Column12812" id="12831"/>
    <tableColumn name="Column12813" id="12832"/>
    <tableColumn name="Column12814" id="12833"/>
    <tableColumn name="Column12815" id="12834"/>
    <tableColumn name="Column12816" id="12835"/>
    <tableColumn name="Column12817" id="12836"/>
    <tableColumn name="Column12818" id="12837"/>
    <tableColumn name="Column12819" id="12838"/>
    <tableColumn name="Column12820" id="12839"/>
    <tableColumn name="Column12821" id="12840"/>
    <tableColumn name="Column12822" id="12841"/>
    <tableColumn name="Column12823" id="12842"/>
    <tableColumn name="Column12824" id="12843"/>
    <tableColumn name="Column12825" id="12844"/>
    <tableColumn name="Column12826" id="12845"/>
    <tableColumn name="Column12827" id="12846"/>
    <tableColumn name="Column12828" id="12847"/>
    <tableColumn name="Column12829" id="12848"/>
    <tableColumn name="Column12830" id="12849"/>
    <tableColumn name="Column12831" id="12850"/>
    <tableColumn name="Column12832" id="12851"/>
    <tableColumn name="Column12833" id="12852"/>
    <tableColumn name="Column12834" id="12853"/>
    <tableColumn name="Column12835" id="12854"/>
    <tableColumn name="Column12836" id="12855"/>
    <tableColumn name="Column12837" id="12856"/>
    <tableColumn name="Column12838" id="12857"/>
    <tableColumn name="Column12839" id="12858"/>
    <tableColumn name="Column12840" id="12859"/>
    <tableColumn name="Column12841" id="12860"/>
    <tableColumn name="Column12842" id="12861"/>
    <tableColumn name="Column12843" id="12862"/>
    <tableColumn name="Column12844" id="12863"/>
    <tableColumn name="Column12845" id="12864"/>
    <tableColumn name="Column12846" id="12865"/>
    <tableColumn name="Column12847" id="12866"/>
    <tableColumn name="Column12848" id="12867"/>
    <tableColumn name="Column12849" id="12868"/>
    <tableColumn name="Column12850" id="12869"/>
    <tableColumn name="Column12851" id="12870"/>
    <tableColumn name="Column12852" id="12871"/>
    <tableColumn name="Column12853" id="12872"/>
    <tableColumn name="Column12854" id="12873"/>
    <tableColumn name="Column12855" id="12874"/>
    <tableColumn name="Column12856" id="12875"/>
    <tableColumn name="Column12857" id="12876"/>
    <tableColumn name="Column12858" id="12877"/>
    <tableColumn name="Column12859" id="12878"/>
    <tableColumn name="Column12860" id="12879"/>
    <tableColumn name="Column12861" id="12880"/>
    <tableColumn name="Column12862" id="12881"/>
    <tableColumn name="Column12863" id="12882"/>
    <tableColumn name="Column12864" id="12883"/>
    <tableColumn name="Column12865" id="12884"/>
    <tableColumn name="Column12866" id="12885"/>
    <tableColumn name="Column12867" id="12886"/>
    <tableColumn name="Column12868" id="12887"/>
    <tableColumn name="Column12869" id="12888"/>
    <tableColumn name="Column12870" id="12889"/>
    <tableColumn name="Column12871" id="12890"/>
    <tableColumn name="Column12872" id="12891"/>
    <tableColumn name="Column12873" id="12892"/>
    <tableColumn name="Column12874" id="12893"/>
    <tableColumn name="Column12875" id="12894"/>
    <tableColumn name="Column12876" id="12895"/>
    <tableColumn name="Column12877" id="12896"/>
    <tableColumn name="Column12878" id="12897"/>
    <tableColumn name="Column12879" id="12898"/>
    <tableColumn name="Column12880" id="12899"/>
    <tableColumn name="Column12881" id="12900"/>
    <tableColumn name="Column12882" id="12901"/>
    <tableColumn name="Column12883" id="12902"/>
    <tableColumn name="Column12884" id="12903"/>
    <tableColumn name="Column12885" id="12904"/>
    <tableColumn name="Column12886" id="12905"/>
    <tableColumn name="Column12887" id="12906"/>
    <tableColumn name="Column12888" id="12907"/>
    <tableColumn name="Column12889" id="12908"/>
    <tableColumn name="Column12890" id="12909"/>
    <tableColumn name="Column12891" id="12910"/>
    <tableColumn name="Column12892" id="12911"/>
    <tableColumn name="Column12893" id="12912"/>
    <tableColumn name="Column12894" id="12913"/>
    <tableColumn name="Column12895" id="12914"/>
    <tableColumn name="Column12896" id="12915"/>
    <tableColumn name="Column12897" id="12916"/>
    <tableColumn name="Column12898" id="12917"/>
    <tableColumn name="Column12899" id="12918"/>
    <tableColumn name="Column12900" id="12919"/>
    <tableColumn name="Column12901" id="12920"/>
    <tableColumn name="Column12902" id="12921"/>
    <tableColumn name="Column12903" id="12922"/>
    <tableColumn name="Column12904" id="12923"/>
    <tableColumn name="Column12905" id="12924"/>
    <tableColumn name="Column12906" id="12925"/>
    <tableColumn name="Column12907" id="12926"/>
    <tableColumn name="Column12908" id="12927"/>
    <tableColumn name="Column12909" id="12928"/>
    <tableColumn name="Column12910" id="12929"/>
    <tableColumn name="Column12911" id="12930"/>
    <tableColumn name="Column12912" id="12931"/>
    <tableColumn name="Column12913" id="12932"/>
    <tableColumn name="Column12914" id="12933"/>
    <tableColumn name="Column12915" id="12934"/>
    <tableColumn name="Column12916" id="12935"/>
    <tableColumn name="Column12917" id="12936"/>
    <tableColumn name="Column12918" id="12937"/>
    <tableColumn name="Column12919" id="12938"/>
    <tableColumn name="Column12920" id="12939"/>
    <tableColumn name="Column12921" id="12940"/>
    <tableColumn name="Column12922" id="12941"/>
    <tableColumn name="Column12923" id="12942"/>
    <tableColumn name="Column12924" id="12943"/>
    <tableColumn name="Column12925" id="12944"/>
    <tableColumn name="Column12926" id="12945"/>
    <tableColumn name="Column12927" id="12946"/>
    <tableColumn name="Column12928" id="12947"/>
    <tableColumn name="Column12929" id="12948"/>
    <tableColumn name="Column12930" id="12949"/>
    <tableColumn name="Column12931" id="12950"/>
    <tableColumn name="Column12932" id="12951"/>
    <tableColumn name="Column12933" id="12952"/>
    <tableColumn name="Column12934" id="12953"/>
    <tableColumn name="Column12935" id="12954"/>
    <tableColumn name="Column12936" id="12955"/>
    <tableColumn name="Column12937" id="12956"/>
    <tableColumn name="Column12938" id="12957"/>
    <tableColumn name="Column12939" id="12958"/>
    <tableColumn name="Column12940" id="12959"/>
    <tableColumn name="Column12941" id="12960"/>
    <tableColumn name="Column12942" id="12961"/>
    <tableColumn name="Column12943" id="12962"/>
    <tableColumn name="Column12944" id="12963"/>
    <tableColumn name="Column12945" id="12964"/>
    <tableColumn name="Column12946" id="12965"/>
    <tableColumn name="Column12947" id="12966"/>
    <tableColumn name="Column12948" id="12967"/>
    <tableColumn name="Column12949" id="12968"/>
    <tableColumn name="Column12950" id="12969"/>
    <tableColumn name="Column12951" id="12970"/>
    <tableColumn name="Column12952" id="12971"/>
    <tableColumn name="Column12953" id="12972"/>
    <tableColumn name="Column12954" id="12973"/>
    <tableColumn name="Column12955" id="12974"/>
    <tableColumn name="Column12956" id="12975"/>
    <tableColumn name="Column12957" id="12976"/>
    <tableColumn name="Column12958" id="12977"/>
    <tableColumn name="Column12959" id="12978"/>
    <tableColumn name="Column12960" id="12979"/>
    <tableColumn name="Column12961" id="12980"/>
    <tableColumn name="Column12962" id="12981"/>
    <tableColumn name="Column12963" id="12982"/>
    <tableColumn name="Column12964" id="12983"/>
    <tableColumn name="Column12965" id="12984"/>
    <tableColumn name="Column12966" id="12985"/>
    <tableColumn name="Column12967" id="12986"/>
    <tableColumn name="Column12968" id="12987"/>
    <tableColumn name="Column12969" id="12988"/>
    <tableColumn name="Column12970" id="12989"/>
    <tableColumn name="Column12971" id="12990"/>
    <tableColumn name="Column12972" id="12991"/>
    <tableColumn name="Column12973" id="12992"/>
    <tableColumn name="Column12974" id="12993"/>
    <tableColumn name="Column12975" id="12994"/>
    <tableColumn name="Column12976" id="12995"/>
    <tableColumn name="Column12977" id="12996"/>
    <tableColumn name="Column12978" id="12997"/>
    <tableColumn name="Column12979" id="12998"/>
    <tableColumn name="Column12980" id="12999"/>
    <tableColumn name="Column12981" id="13000"/>
    <tableColumn name="Column12982" id="13001"/>
    <tableColumn name="Column12983" id="13002"/>
    <tableColumn name="Column12984" id="13003"/>
    <tableColumn name="Column12985" id="13004"/>
    <tableColumn name="Column12986" id="13005"/>
    <tableColumn name="Column12987" id="13006"/>
    <tableColumn name="Column12988" id="13007"/>
    <tableColumn name="Column12989" id="13008"/>
    <tableColumn name="Column12990" id="13009"/>
    <tableColumn name="Column12991" id="13010"/>
    <tableColumn name="Column12992" id="13011"/>
    <tableColumn name="Column12993" id="13012"/>
    <tableColumn name="Column12994" id="13013"/>
    <tableColumn name="Column12995" id="13014"/>
    <tableColumn name="Column12996" id="13015"/>
    <tableColumn name="Column12997" id="13016"/>
    <tableColumn name="Column12998" id="13017"/>
    <tableColumn name="Column12999" id="13018"/>
    <tableColumn name="Column13000" id="13019"/>
    <tableColumn name="Column13001" id="13020"/>
    <tableColumn name="Column13002" id="13021"/>
    <tableColumn name="Column13003" id="13022"/>
    <tableColumn name="Column13004" id="13023"/>
    <tableColumn name="Column13005" id="13024"/>
    <tableColumn name="Column13006" id="13025"/>
    <tableColumn name="Column13007" id="13026"/>
    <tableColumn name="Column13008" id="13027"/>
    <tableColumn name="Column13009" id="13028"/>
    <tableColumn name="Column13010" id="13029"/>
    <tableColumn name="Column13011" id="13030"/>
    <tableColumn name="Column13012" id="13031"/>
    <tableColumn name="Column13013" id="13032"/>
    <tableColumn name="Column13014" id="13033"/>
    <tableColumn name="Column13015" id="13034"/>
    <tableColumn name="Column13016" id="13035"/>
    <tableColumn name="Column13017" id="13036"/>
    <tableColumn name="Column13018" id="13037"/>
    <tableColumn name="Column13019" id="13038"/>
    <tableColumn name="Column13020" id="13039"/>
    <tableColumn name="Column13021" id="13040"/>
    <tableColumn name="Column13022" id="13041"/>
    <tableColumn name="Column13023" id="13042"/>
    <tableColumn name="Column13024" id="13043"/>
    <tableColumn name="Column13025" id="13044"/>
    <tableColumn name="Column13026" id="13045"/>
    <tableColumn name="Column13027" id="13046"/>
    <tableColumn name="Column13028" id="13047"/>
    <tableColumn name="Column13029" id="13048"/>
    <tableColumn name="Column13030" id="13049"/>
    <tableColumn name="Column13031" id="13050"/>
    <tableColumn name="Column13032" id="13051"/>
    <tableColumn name="Column13033" id="13052"/>
    <tableColumn name="Column13034" id="13053"/>
    <tableColumn name="Column13035" id="13054"/>
    <tableColumn name="Column13036" id="13055"/>
    <tableColumn name="Column13037" id="13056"/>
    <tableColumn name="Column13038" id="13057"/>
    <tableColumn name="Column13039" id="13058"/>
    <tableColumn name="Column13040" id="13059"/>
    <tableColumn name="Column13041" id="13060"/>
    <tableColumn name="Column13042" id="13061"/>
    <tableColumn name="Column13043" id="13062"/>
    <tableColumn name="Column13044" id="13063"/>
    <tableColumn name="Column13045" id="13064"/>
    <tableColumn name="Column13046" id="13065"/>
    <tableColumn name="Column13047" id="13066"/>
    <tableColumn name="Column13048" id="13067"/>
    <tableColumn name="Column13049" id="13068"/>
    <tableColumn name="Column13050" id="13069"/>
    <tableColumn name="Column13051" id="13070"/>
    <tableColumn name="Column13052" id="13071"/>
    <tableColumn name="Column13053" id="13072"/>
    <tableColumn name="Column13054" id="13073"/>
    <tableColumn name="Column13055" id="13074"/>
    <tableColumn name="Column13056" id="13075"/>
    <tableColumn name="Column13057" id="13076"/>
    <tableColumn name="Column13058" id="13077"/>
    <tableColumn name="Column13059" id="13078"/>
    <tableColumn name="Column13060" id="13079"/>
    <tableColumn name="Column13061" id="13080"/>
    <tableColumn name="Column13062" id="13081"/>
    <tableColumn name="Column13063" id="13082"/>
    <tableColumn name="Column13064" id="13083"/>
    <tableColumn name="Column13065" id="13084"/>
    <tableColumn name="Column13066" id="13085"/>
    <tableColumn name="Column13067" id="13086"/>
    <tableColumn name="Column13068" id="13087"/>
    <tableColumn name="Column13069" id="13088"/>
    <tableColumn name="Column13070" id="13089"/>
    <tableColumn name="Column13071" id="13090"/>
    <tableColumn name="Column13072" id="13091"/>
    <tableColumn name="Column13073" id="13092"/>
    <tableColumn name="Column13074" id="13093"/>
    <tableColumn name="Column13075" id="13094"/>
    <tableColumn name="Column13076" id="13095"/>
    <tableColumn name="Column13077" id="13096"/>
    <tableColumn name="Column13078" id="13097"/>
    <tableColumn name="Column13079" id="13098"/>
    <tableColumn name="Column13080" id="13099"/>
    <tableColumn name="Column13081" id="13100"/>
    <tableColumn name="Column13082" id="13101"/>
    <tableColumn name="Column13083" id="13102"/>
    <tableColumn name="Column13084" id="13103"/>
    <tableColumn name="Column13085" id="13104"/>
    <tableColumn name="Column13086" id="13105"/>
    <tableColumn name="Column13087" id="13106"/>
    <tableColumn name="Column13088" id="13107"/>
    <tableColumn name="Column13089" id="13108"/>
    <tableColumn name="Column13090" id="13109"/>
    <tableColumn name="Column13091" id="13110"/>
    <tableColumn name="Column13092" id="13111"/>
    <tableColumn name="Column13093" id="13112"/>
    <tableColumn name="Column13094" id="13113"/>
    <tableColumn name="Column13095" id="13114"/>
    <tableColumn name="Column13096" id="13115"/>
    <tableColumn name="Column13097" id="13116"/>
    <tableColumn name="Column13098" id="13117"/>
    <tableColumn name="Column13099" id="13118"/>
    <tableColumn name="Column13100" id="13119"/>
    <tableColumn name="Column13101" id="13120"/>
    <tableColumn name="Column13102" id="13121"/>
    <tableColumn name="Column13103" id="13122"/>
    <tableColumn name="Column13104" id="13123"/>
    <tableColumn name="Column13105" id="13124"/>
    <tableColumn name="Column13106" id="13125"/>
    <tableColumn name="Column13107" id="13126"/>
    <tableColumn name="Column13108" id="13127"/>
    <tableColumn name="Column13109" id="13128"/>
    <tableColumn name="Column13110" id="13129"/>
    <tableColumn name="Column13111" id="13130"/>
    <tableColumn name="Column13112" id="13131"/>
    <tableColumn name="Column13113" id="13132"/>
    <tableColumn name="Column13114" id="13133"/>
    <tableColumn name="Column13115" id="13134"/>
    <tableColumn name="Column13116" id="13135"/>
    <tableColumn name="Column13117" id="13136"/>
    <tableColumn name="Column13118" id="13137"/>
    <tableColumn name="Column13119" id="13138"/>
    <tableColumn name="Column13120" id="13139"/>
    <tableColumn name="Column13121" id="13140"/>
    <tableColumn name="Column13122" id="13141"/>
    <tableColumn name="Column13123" id="13142"/>
    <tableColumn name="Column13124" id="13143"/>
    <tableColumn name="Column13125" id="13144"/>
    <tableColumn name="Column13126" id="13145"/>
    <tableColumn name="Column13127" id="13146"/>
    <tableColumn name="Column13128" id="13147"/>
    <tableColumn name="Column13129" id="13148"/>
    <tableColumn name="Column13130" id="13149"/>
    <tableColumn name="Column13131" id="13150"/>
    <tableColumn name="Column13132" id="13151"/>
    <tableColumn name="Column13133" id="13152"/>
    <tableColumn name="Column13134" id="13153"/>
    <tableColumn name="Column13135" id="13154"/>
    <tableColumn name="Column13136" id="13155"/>
    <tableColumn name="Column13137" id="13156"/>
    <tableColumn name="Column13138" id="13157"/>
    <tableColumn name="Column13139" id="13158"/>
    <tableColumn name="Column13140" id="13159"/>
    <tableColumn name="Column13141" id="13160"/>
    <tableColumn name="Column13142" id="13161"/>
    <tableColumn name="Column13143" id="13162"/>
    <tableColumn name="Column13144" id="13163"/>
    <tableColumn name="Column13145" id="13164"/>
    <tableColumn name="Column13146" id="13165"/>
    <tableColumn name="Column13147" id="13166"/>
    <tableColumn name="Column13148" id="13167"/>
    <tableColumn name="Column13149" id="13168"/>
    <tableColumn name="Column13150" id="13169"/>
    <tableColumn name="Column13151" id="13170"/>
    <tableColumn name="Column13152" id="13171"/>
    <tableColumn name="Column13153" id="13172"/>
    <tableColumn name="Column13154" id="13173"/>
    <tableColumn name="Column13155" id="13174"/>
    <tableColumn name="Column13156" id="13175"/>
    <tableColumn name="Column13157" id="13176"/>
    <tableColumn name="Column13158" id="13177"/>
    <tableColumn name="Column13159" id="13178"/>
    <tableColumn name="Column13160" id="13179"/>
    <tableColumn name="Column13161" id="13180"/>
    <tableColumn name="Column13162" id="13181"/>
    <tableColumn name="Column13163" id="13182"/>
    <tableColumn name="Column13164" id="13183"/>
    <tableColumn name="Column13165" id="13184"/>
    <tableColumn name="Column13166" id="13185"/>
    <tableColumn name="Column13167" id="13186"/>
    <tableColumn name="Column13168" id="13187"/>
    <tableColumn name="Column13169" id="13188"/>
    <tableColumn name="Column13170" id="13189"/>
    <tableColumn name="Column13171" id="13190"/>
    <tableColumn name="Column13172" id="13191"/>
    <tableColumn name="Column13173" id="13192"/>
    <tableColumn name="Column13174" id="13193"/>
    <tableColumn name="Column13175" id="13194"/>
    <tableColumn name="Column13176" id="13195"/>
    <tableColumn name="Column13177" id="13196"/>
    <tableColumn name="Column13178" id="13197"/>
    <tableColumn name="Column13179" id="13198"/>
    <tableColumn name="Column13180" id="13199"/>
    <tableColumn name="Column13181" id="13200"/>
    <tableColumn name="Column13182" id="13201"/>
    <tableColumn name="Column13183" id="13202"/>
    <tableColumn name="Column13184" id="13203"/>
    <tableColumn name="Column13185" id="13204"/>
    <tableColumn name="Column13186" id="13205"/>
    <tableColumn name="Column13187" id="13206"/>
    <tableColumn name="Column13188" id="13207"/>
    <tableColumn name="Column13189" id="13208"/>
    <tableColumn name="Column13190" id="13209"/>
    <tableColumn name="Column13191" id="13210"/>
    <tableColumn name="Column13192" id="13211"/>
    <tableColumn name="Column13193" id="13212"/>
    <tableColumn name="Column13194" id="13213"/>
    <tableColumn name="Column13195" id="13214"/>
    <tableColumn name="Column13196" id="13215"/>
    <tableColumn name="Column13197" id="13216"/>
    <tableColumn name="Column13198" id="13217"/>
    <tableColumn name="Column13199" id="13218"/>
    <tableColumn name="Column13200" id="13219"/>
    <tableColumn name="Column13201" id="13220"/>
    <tableColumn name="Column13202" id="13221"/>
    <tableColumn name="Column13203" id="13222"/>
    <tableColumn name="Column13204" id="13223"/>
    <tableColumn name="Column13205" id="13224"/>
    <tableColumn name="Column13206" id="13225"/>
    <tableColumn name="Column13207" id="13226"/>
    <tableColumn name="Column13208" id="13227"/>
    <tableColumn name="Column13209" id="13228"/>
    <tableColumn name="Column13210" id="13229"/>
    <tableColumn name="Column13211" id="13230"/>
    <tableColumn name="Column13212" id="13231"/>
    <tableColumn name="Column13213" id="13232"/>
    <tableColumn name="Column13214" id="13233"/>
    <tableColumn name="Column13215" id="13234"/>
    <tableColumn name="Column13216" id="13235"/>
    <tableColumn name="Column13217" id="13236"/>
    <tableColumn name="Column13218" id="13237"/>
    <tableColumn name="Column13219" id="13238"/>
    <tableColumn name="Column13220" id="13239"/>
    <tableColumn name="Column13221" id="13240"/>
    <tableColumn name="Column13222" id="13241"/>
    <tableColumn name="Column13223" id="13242"/>
    <tableColumn name="Column13224" id="13243"/>
    <tableColumn name="Column13225" id="13244"/>
    <tableColumn name="Column13226" id="13245"/>
    <tableColumn name="Column13227" id="13246"/>
    <tableColumn name="Column13228" id="13247"/>
    <tableColumn name="Column13229" id="13248"/>
    <tableColumn name="Column13230" id="13249"/>
    <tableColumn name="Column13231" id="13250"/>
    <tableColumn name="Column13232" id="13251"/>
    <tableColumn name="Column13233" id="13252"/>
    <tableColumn name="Column13234" id="13253"/>
    <tableColumn name="Column13235" id="13254"/>
    <tableColumn name="Column13236" id="13255"/>
    <tableColumn name="Column13237" id="13256"/>
    <tableColumn name="Column13238" id="13257"/>
    <tableColumn name="Column13239" id="13258"/>
    <tableColumn name="Column13240" id="13259"/>
    <tableColumn name="Column13241" id="13260"/>
    <tableColumn name="Column13242" id="13261"/>
    <tableColumn name="Column13243" id="13262"/>
    <tableColumn name="Column13244" id="13263"/>
    <tableColumn name="Column13245" id="13264"/>
    <tableColumn name="Column13246" id="13265"/>
    <tableColumn name="Column13247" id="13266"/>
    <tableColumn name="Column13248" id="13267"/>
    <tableColumn name="Column13249" id="13268"/>
    <tableColumn name="Column13250" id="13269"/>
    <tableColumn name="Column13251" id="13270"/>
    <tableColumn name="Column13252" id="13271"/>
    <tableColumn name="Column13253" id="13272"/>
    <tableColumn name="Column13254" id="13273"/>
    <tableColumn name="Column13255" id="13274"/>
    <tableColumn name="Column13256" id="13275"/>
    <tableColumn name="Column13257" id="13276"/>
    <tableColumn name="Column13258" id="13277"/>
    <tableColumn name="Column13259" id="13278"/>
    <tableColumn name="Column13260" id="13279"/>
    <tableColumn name="Column13261" id="13280"/>
    <tableColumn name="Column13262" id="13281"/>
    <tableColumn name="Column13263" id="13282"/>
    <tableColumn name="Column13264" id="13283"/>
    <tableColumn name="Column13265" id="13284"/>
    <tableColumn name="Column13266" id="13285"/>
    <tableColumn name="Column13267" id="13286"/>
    <tableColumn name="Column13268" id="13287"/>
    <tableColumn name="Column13269" id="13288"/>
    <tableColumn name="Column13270" id="13289"/>
    <tableColumn name="Column13271" id="13290"/>
    <tableColumn name="Column13272" id="13291"/>
    <tableColumn name="Column13273" id="13292"/>
    <tableColumn name="Column13274" id="13293"/>
    <tableColumn name="Column13275" id="13294"/>
    <tableColumn name="Column13276" id="13295"/>
    <tableColumn name="Column13277" id="13296"/>
    <tableColumn name="Column13278" id="13297"/>
    <tableColumn name="Column13279" id="13298"/>
    <tableColumn name="Column13280" id="13299"/>
    <tableColumn name="Column13281" id="13300"/>
    <tableColumn name="Column13282" id="13301"/>
    <tableColumn name="Column13283" id="13302"/>
    <tableColumn name="Column13284" id="13303"/>
    <tableColumn name="Column13285" id="13304"/>
    <tableColumn name="Column13286" id="13305"/>
    <tableColumn name="Column13287" id="13306"/>
    <tableColumn name="Column13288" id="13307"/>
    <tableColumn name="Column13289" id="13308"/>
    <tableColumn name="Column13290" id="13309"/>
    <tableColumn name="Column13291" id="13310"/>
    <tableColumn name="Column13292" id="13311"/>
    <tableColumn name="Column13293" id="13312"/>
    <tableColumn name="Column13294" id="13313"/>
    <tableColumn name="Column13295" id="13314"/>
    <tableColumn name="Column13296" id="13315"/>
    <tableColumn name="Column13297" id="13316"/>
    <tableColumn name="Column13298" id="13317"/>
    <tableColumn name="Column13299" id="13318"/>
    <tableColumn name="Column13300" id="13319"/>
    <tableColumn name="Column13301" id="13320"/>
    <tableColumn name="Column13302" id="13321"/>
    <tableColumn name="Column13303" id="13322"/>
    <tableColumn name="Column13304" id="13323"/>
    <tableColumn name="Column13305" id="13324"/>
    <tableColumn name="Column13306" id="13325"/>
    <tableColumn name="Column13307" id="13326"/>
    <tableColumn name="Column13308" id="13327"/>
    <tableColumn name="Column13309" id="13328"/>
    <tableColumn name="Column13310" id="13329"/>
    <tableColumn name="Column13311" id="13330"/>
    <tableColumn name="Column13312" id="13331"/>
    <tableColumn name="Column13313" id="13332"/>
    <tableColumn name="Column13314" id="13333"/>
    <tableColumn name="Column13315" id="13334"/>
    <tableColumn name="Column13316" id="13335"/>
    <tableColumn name="Column13317" id="13336"/>
    <tableColumn name="Column13318" id="13337"/>
    <tableColumn name="Column13319" id="13338"/>
    <tableColumn name="Column13320" id="13339"/>
    <tableColumn name="Column13321" id="13340"/>
    <tableColumn name="Column13322" id="13341"/>
    <tableColumn name="Column13323" id="13342"/>
    <tableColumn name="Column13324" id="13343"/>
    <tableColumn name="Column13325" id="13344"/>
    <tableColumn name="Column13326" id="13345"/>
    <tableColumn name="Column13327" id="13346"/>
    <tableColumn name="Column13328" id="13347"/>
    <tableColumn name="Column13329" id="13348"/>
    <tableColumn name="Column13330" id="13349"/>
    <tableColumn name="Column13331" id="13350"/>
    <tableColumn name="Column13332" id="13351"/>
    <tableColumn name="Column13333" id="13352"/>
    <tableColumn name="Column13334" id="13353"/>
    <tableColumn name="Column13335" id="13354"/>
    <tableColumn name="Column13336" id="13355"/>
    <tableColumn name="Column13337" id="13356"/>
    <tableColumn name="Column13338" id="13357"/>
    <tableColumn name="Column13339" id="13358"/>
    <tableColumn name="Column13340" id="13359"/>
    <tableColumn name="Column13341" id="13360"/>
    <tableColumn name="Column13342" id="13361"/>
    <tableColumn name="Column13343" id="13362"/>
    <tableColumn name="Column13344" id="13363"/>
    <tableColumn name="Column13345" id="13364"/>
    <tableColumn name="Column13346" id="13365"/>
    <tableColumn name="Column13347" id="13366"/>
    <tableColumn name="Column13348" id="13367"/>
    <tableColumn name="Column13349" id="13368"/>
    <tableColumn name="Column13350" id="13369"/>
    <tableColumn name="Column13351" id="13370"/>
    <tableColumn name="Column13352" id="13371"/>
    <tableColumn name="Column13353" id="13372"/>
    <tableColumn name="Column13354" id="13373"/>
    <tableColumn name="Column13355" id="13374"/>
    <tableColumn name="Column13356" id="13375"/>
    <tableColumn name="Column13357" id="13376"/>
    <tableColumn name="Column13358" id="13377"/>
    <tableColumn name="Column13359" id="13378"/>
    <tableColumn name="Column13360" id="13379"/>
    <tableColumn name="Column13361" id="13380"/>
    <tableColumn name="Column13362" id="13381"/>
    <tableColumn name="Column13363" id="13382"/>
    <tableColumn name="Column13364" id="13383"/>
    <tableColumn name="Column13365" id="13384"/>
    <tableColumn name="Column13366" id="13385"/>
    <tableColumn name="Column13367" id="13386"/>
    <tableColumn name="Column13368" id="13387"/>
    <tableColumn name="Column13369" id="13388"/>
    <tableColumn name="Column13370" id="13389"/>
    <tableColumn name="Column13371" id="13390"/>
    <tableColumn name="Column13372" id="13391"/>
    <tableColumn name="Column13373" id="13392"/>
    <tableColumn name="Column13374" id="13393"/>
    <tableColumn name="Column13375" id="13394"/>
    <tableColumn name="Column13376" id="13395"/>
    <tableColumn name="Column13377" id="13396"/>
    <tableColumn name="Column13378" id="13397"/>
    <tableColumn name="Column13379" id="13398"/>
    <tableColumn name="Column13380" id="13399"/>
    <tableColumn name="Column13381" id="13400"/>
    <tableColumn name="Column13382" id="13401"/>
    <tableColumn name="Column13383" id="13402"/>
    <tableColumn name="Column13384" id="13403"/>
    <tableColumn name="Column13385" id="13404"/>
    <tableColumn name="Column13386" id="13405"/>
    <tableColumn name="Column13387" id="13406"/>
    <tableColumn name="Column13388" id="13407"/>
    <tableColumn name="Column13389" id="13408"/>
    <tableColumn name="Column13390" id="13409"/>
    <tableColumn name="Column13391" id="13410"/>
    <tableColumn name="Column13392" id="13411"/>
    <tableColumn name="Column13393" id="13412"/>
    <tableColumn name="Column13394" id="13413"/>
    <tableColumn name="Column13395" id="13414"/>
    <tableColumn name="Column13396" id="13415"/>
    <tableColumn name="Column13397" id="13416"/>
    <tableColumn name="Column13398" id="13417"/>
    <tableColumn name="Column13399" id="13418"/>
    <tableColumn name="Column13400" id="13419"/>
    <tableColumn name="Column13401" id="13420"/>
    <tableColumn name="Column13402" id="13421"/>
    <tableColumn name="Column13403" id="13422"/>
    <tableColumn name="Column13404" id="13423"/>
    <tableColumn name="Column13405" id="13424"/>
    <tableColumn name="Column13406" id="13425"/>
    <tableColumn name="Column13407" id="13426"/>
    <tableColumn name="Column13408" id="13427"/>
    <tableColumn name="Column13409" id="13428"/>
    <tableColumn name="Column13410" id="13429"/>
    <tableColumn name="Column13411" id="13430"/>
    <tableColumn name="Column13412" id="13431"/>
    <tableColumn name="Column13413" id="13432"/>
    <tableColumn name="Column13414" id="13433"/>
    <tableColumn name="Column13415" id="13434"/>
    <tableColumn name="Column13416" id="13435"/>
    <tableColumn name="Column13417" id="13436"/>
    <tableColumn name="Column13418" id="13437"/>
    <tableColumn name="Column13419" id="13438"/>
    <tableColumn name="Column13420" id="13439"/>
    <tableColumn name="Column13421" id="13440"/>
    <tableColumn name="Column13422" id="13441"/>
    <tableColumn name="Column13423" id="13442"/>
    <tableColumn name="Column13424" id="13443"/>
    <tableColumn name="Column13425" id="13444"/>
    <tableColumn name="Column13426" id="13445"/>
    <tableColumn name="Column13427" id="13446"/>
    <tableColumn name="Column13428" id="13447"/>
    <tableColumn name="Column13429" id="13448"/>
    <tableColumn name="Column13430" id="13449"/>
    <tableColumn name="Column13431" id="13450"/>
    <tableColumn name="Column13432" id="13451"/>
    <tableColumn name="Column13433" id="13452"/>
    <tableColumn name="Column13434" id="13453"/>
    <tableColumn name="Column13435" id="13454"/>
    <tableColumn name="Column13436" id="13455"/>
    <tableColumn name="Column13437" id="13456"/>
    <tableColumn name="Column13438" id="13457"/>
    <tableColumn name="Column13439" id="13458"/>
    <tableColumn name="Column13440" id="13459"/>
    <tableColumn name="Column13441" id="13460"/>
    <tableColumn name="Column13442" id="13461"/>
    <tableColumn name="Column13443" id="13462"/>
    <tableColumn name="Column13444" id="13463"/>
    <tableColumn name="Column13445" id="13464"/>
    <tableColumn name="Column13446" id="13465"/>
    <tableColumn name="Column13447" id="13466"/>
    <tableColumn name="Column13448" id="13467"/>
    <tableColumn name="Column13449" id="13468"/>
    <tableColumn name="Column13450" id="13469"/>
    <tableColumn name="Column13451" id="13470"/>
    <tableColumn name="Column13452" id="13471"/>
    <tableColumn name="Column13453" id="13472"/>
    <tableColumn name="Column13454" id="13473"/>
    <tableColumn name="Column13455" id="13474"/>
    <tableColumn name="Column13456" id="13475"/>
    <tableColumn name="Column13457" id="13476"/>
    <tableColumn name="Column13458" id="13477"/>
    <tableColumn name="Column13459" id="13478"/>
    <tableColumn name="Column13460" id="13479"/>
    <tableColumn name="Column13461" id="13480"/>
    <tableColumn name="Column13462" id="13481"/>
    <tableColumn name="Column13463" id="13482"/>
    <tableColumn name="Column13464" id="13483"/>
    <tableColumn name="Column13465" id="13484"/>
    <tableColumn name="Column13466" id="13485"/>
    <tableColumn name="Column13467" id="13486"/>
    <tableColumn name="Column13468" id="13487"/>
    <tableColumn name="Column13469" id="13488"/>
    <tableColumn name="Column13470" id="13489"/>
    <tableColumn name="Column13471" id="13490"/>
    <tableColumn name="Column13472" id="13491"/>
    <tableColumn name="Column13473" id="13492"/>
    <tableColumn name="Column13474" id="13493"/>
    <tableColumn name="Column13475" id="13494"/>
    <tableColumn name="Column13476" id="13495"/>
    <tableColumn name="Column13477" id="13496"/>
    <tableColumn name="Column13478" id="13497"/>
    <tableColumn name="Column13479" id="13498"/>
    <tableColumn name="Column13480" id="13499"/>
    <tableColumn name="Column13481" id="13500"/>
    <tableColumn name="Column13482" id="13501"/>
    <tableColumn name="Column13483" id="13502"/>
    <tableColumn name="Column13484" id="13503"/>
    <tableColumn name="Column13485" id="13504"/>
    <tableColumn name="Column13486" id="13505"/>
    <tableColumn name="Column13487" id="13506"/>
    <tableColumn name="Column13488" id="13507"/>
    <tableColumn name="Column13489" id="13508"/>
    <tableColumn name="Column13490" id="13509"/>
    <tableColumn name="Column13491" id="13510"/>
    <tableColumn name="Column13492" id="13511"/>
    <tableColumn name="Column13493" id="13512"/>
    <tableColumn name="Column13494" id="13513"/>
    <tableColumn name="Column13495" id="13514"/>
    <tableColumn name="Column13496" id="13515"/>
    <tableColumn name="Column13497" id="13516"/>
    <tableColumn name="Column13498" id="13517"/>
    <tableColumn name="Column13499" id="13518"/>
    <tableColumn name="Column13500" id="13519"/>
    <tableColumn name="Column13501" id="13520"/>
    <tableColumn name="Column13502" id="13521"/>
    <tableColumn name="Column13503" id="13522"/>
    <tableColumn name="Column13504" id="13523"/>
    <tableColumn name="Column13505" id="13524"/>
    <tableColumn name="Column13506" id="13525"/>
    <tableColumn name="Column13507" id="13526"/>
    <tableColumn name="Column13508" id="13527"/>
    <tableColumn name="Column13509" id="13528"/>
    <tableColumn name="Column13510" id="13529"/>
    <tableColumn name="Column13511" id="13530"/>
    <tableColumn name="Column13512" id="13531"/>
    <tableColumn name="Column13513" id="13532"/>
    <tableColumn name="Column13514" id="13533"/>
    <tableColumn name="Column13515" id="13534"/>
    <tableColumn name="Column13516" id="13535"/>
    <tableColumn name="Column13517" id="13536"/>
    <tableColumn name="Column13518" id="13537"/>
    <tableColumn name="Column13519" id="13538"/>
    <tableColumn name="Column13520" id="13539"/>
    <tableColumn name="Column13521" id="13540"/>
    <tableColumn name="Column13522" id="13541"/>
    <tableColumn name="Column13523" id="13542"/>
    <tableColumn name="Column13524" id="13543"/>
    <tableColumn name="Column13525" id="13544"/>
    <tableColumn name="Column13526" id="13545"/>
    <tableColumn name="Column13527" id="13546"/>
    <tableColumn name="Column13528" id="13547"/>
    <tableColumn name="Column13529" id="13548"/>
    <tableColumn name="Column13530" id="13549"/>
    <tableColumn name="Column13531" id="13550"/>
    <tableColumn name="Column13532" id="13551"/>
    <tableColumn name="Column13533" id="13552"/>
    <tableColumn name="Column13534" id="13553"/>
    <tableColumn name="Column13535" id="13554"/>
    <tableColumn name="Column13536" id="13555"/>
    <tableColumn name="Column13537" id="13556"/>
    <tableColumn name="Column13538" id="13557"/>
    <tableColumn name="Column13539" id="13558"/>
    <tableColumn name="Column13540" id="13559"/>
    <tableColumn name="Column13541" id="13560"/>
    <tableColumn name="Column13542" id="13561"/>
    <tableColumn name="Column13543" id="13562"/>
    <tableColumn name="Column13544" id="13563"/>
    <tableColumn name="Column13545" id="13564"/>
    <tableColumn name="Column13546" id="13565"/>
    <tableColumn name="Column13547" id="13566"/>
    <tableColumn name="Column13548" id="13567"/>
    <tableColumn name="Column13549" id="13568"/>
    <tableColumn name="Column13550" id="13569"/>
    <tableColumn name="Column13551" id="13570"/>
    <tableColumn name="Column13552" id="13571"/>
    <tableColumn name="Column13553" id="13572"/>
    <tableColumn name="Column13554" id="13573"/>
    <tableColumn name="Column13555" id="13574"/>
    <tableColumn name="Column13556" id="13575"/>
    <tableColumn name="Column13557" id="13576"/>
    <tableColumn name="Column13558" id="13577"/>
    <tableColumn name="Column13559" id="13578"/>
    <tableColumn name="Column13560" id="13579"/>
    <tableColumn name="Column13561" id="13580"/>
    <tableColumn name="Column13562" id="13581"/>
    <tableColumn name="Column13563" id="13582"/>
    <tableColumn name="Column13564" id="13583"/>
    <tableColumn name="Column13565" id="13584"/>
    <tableColumn name="Column13566" id="13585"/>
    <tableColumn name="Column13567" id="13586"/>
    <tableColumn name="Column13568" id="13587"/>
    <tableColumn name="Column13569" id="13588"/>
    <tableColumn name="Column13570" id="13589"/>
    <tableColumn name="Column13571" id="13590"/>
    <tableColumn name="Column13572" id="13591"/>
    <tableColumn name="Column13573" id="13592"/>
    <tableColumn name="Column13574" id="13593"/>
    <tableColumn name="Column13575" id="13594"/>
    <tableColumn name="Column13576" id="13595"/>
    <tableColumn name="Column13577" id="13596"/>
    <tableColumn name="Column13578" id="13597"/>
    <tableColumn name="Column13579" id="13598"/>
    <tableColumn name="Column13580" id="13599"/>
    <tableColumn name="Column13581" id="13600"/>
    <tableColumn name="Column13582" id="13601"/>
    <tableColumn name="Column13583" id="13602"/>
    <tableColumn name="Column13584" id="13603"/>
    <tableColumn name="Column13585" id="13604"/>
    <tableColumn name="Column13586" id="13605"/>
    <tableColumn name="Column13587" id="13606"/>
    <tableColumn name="Column13588" id="13607"/>
    <tableColumn name="Column13589" id="13608"/>
    <tableColumn name="Column13590" id="13609"/>
    <tableColumn name="Column13591" id="13610"/>
    <tableColumn name="Column13592" id="13611"/>
    <tableColumn name="Column13593" id="13612"/>
    <tableColumn name="Column13594" id="13613"/>
    <tableColumn name="Column13595" id="13614"/>
    <tableColumn name="Column13596" id="13615"/>
    <tableColumn name="Column13597" id="13616"/>
    <tableColumn name="Column13598" id="13617"/>
    <tableColumn name="Column13599" id="13618"/>
    <tableColumn name="Column13600" id="13619"/>
    <tableColumn name="Column13601" id="13620"/>
    <tableColumn name="Column13602" id="13621"/>
    <tableColumn name="Column13603" id="13622"/>
    <tableColumn name="Column13604" id="13623"/>
    <tableColumn name="Column13605" id="13624"/>
    <tableColumn name="Column13606" id="13625"/>
    <tableColumn name="Column13607" id="13626"/>
    <tableColumn name="Column13608" id="13627"/>
    <tableColumn name="Column13609" id="13628"/>
    <tableColumn name="Column13610" id="13629"/>
    <tableColumn name="Column13611" id="13630"/>
    <tableColumn name="Column13612" id="13631"/>
    <tableColumn name="Column13613" id="13632"/>
    <tableColumn name="Column13614" id="13633"/>
    <tableColumn name="Column13615" id="13634"/>
    <tableColumn name="Column13616" id="13635"/>
    <tableColumn name="Column13617" id="13636"/>
    <tableColumn name="Column13618" id="13637"/>
    <tableColumn name="Column13619" id="13638"/>
    <tableColumn name="Column13620" id="13639"/>
    <tableColumn name="Column13621" id="13640"/>
    <tableColumn name="Column13622" id="13641"/>
    <tableColumn name="Column13623" id="13642"/>
    <tableColumn name="Column13624" id="13643"/>
    <tableColumn name="Column13625" id="13644"/>
    <tableColumn name="Column13626" id="13645"/>
    <tableColumn name="Column13627" id="13646"/>
    <tableColumn name="Column13628" id="13647"/>
    <tableColumn name="Column13629" id="13648"/>
    <tableColumn name="Column13630" id="13649"/>
    <tableColumn name="Column13631" id="13650"/>
    <tableColumn name="Column13632" id="13651"/>
    <tableColumn name="Column13633" id="13652"/>
    <tableColumn name="Column13634" id="13653"/>
    <tableColumn name="Column13635" id="13654"/>
    <tableColumn name="Column13636" id="13655"/>
    <tableColumn name="Column13637" id="13656"/>
    <tableColumn name="Column13638" id="13657"/>
    <tableColumn name="Column13639" id="13658"/>
    <tableColumn name="Column13640" id="13659"/>
    <tableColumn name="Column13641" id="13660"/>
    <tableColumn name="Column13642" id="13661"/>
    <tableColumn name="Column13643" id="13662"/>
    <tableColumn name="Column13644" id="13663"/>
    <tableColumn name="Column13645" id="13664"/>
    <tableColumn name="Column13646" id="13665"/>
    <tableColumn name="Column13647" id="13666"/>
    <tableColumn name="Column13648" id="13667"/>
    <tableColumn name="Column13649" id="13668"/>
    <tableColumn name="Column13650" id="13669"/>
    <tableColumn name="Column13651" id="13670"/>
    <tableColumn name="Column13652" id="13671"/>
    <tableColumn name="Column13653" id="13672"/>
    <tableColumn name="Column13654" id="13673"/>
    <tableColumn name="Column13655" id="13674"/>
    <tableColumn name="Column13656" id="13675"/>
    <tableColumn name="Column13657" id="13676"/>
    <tableColumn name="Column13658" id="13677"/>
    <tableColumn name="Column13659" id="13678"/>
    <tableColumn name="Column13660" id="13679"/>
    <tableColumn name="Column13661" id="13680"/>
    <tableColumn name="Column13662" id="13681"/>
    <tableColumn name="Column13663" id="13682"/>
    <tableColumn name="Column13664" id="13683"/>
    <tableColumn name="Column13665" id="13684"/>
    <tableColumn name="Column13666" id="13685"/>
    <tableColumn name="Column13667" id="13686"/>
    <tableColumn name="Column13668" id="13687"/>
    <tableColumn name="Column13669" id="13688"/>
    <tableColumn name="Column13670" id="13689"/>
    <tableColumn name="Column13671" id="13690"/>
    <tableColumn name="Column13672" id="13691"/>
    <tableColumn name="Column13673" id="13692"/>
    <tableColumn name="Column13674" id="13693"/>
    <tableColumn name="Column13675" id="13694"/>
    <tableColumn name="Column13676" id="13695"/>
    <tableColumn name="Column13677" id="13696"/>
    <tableColumn name="Column13678" id="13697"/>
    <tableColumn name="Column13679" id="13698"/>
    <tableColumn name="Column13680" id="13699"/>
    <tableColumn name="Column13681" id="13700"/>
    <tableColumn name="Column13682" id="13701"/>
    <tableColumn name="Column13683" id="13702"/>
    <tableColumn name="Column13684" id="13703"/>
    <tableColumn name="Column13685" id="13704"/>
    <tableColumn name="Column13686" id="13705"/>
    <tableColumn name="Column13687" id="13706"/>
    <tableColumn name="Column13688" id="13707"/>
    <tableColumn name="Column13689" id="13708"/>
    <tableColumn name="Column13690" id="13709"/>
    <tableColumn name="Column13691" id="13710"/>
    <tableColumn name="Column13692" id="13711"/>
    <tableColumn name="Column13693" id="13712"/>
    <tableColumn name="Column13694" id="13713"/>
    <tableColumn name="Column13695" id="13714"/>
    <tableColumn name="Column13696" id="13715"/>
    <tableColumn name="Column13697" id="13716"/>
    <tableColumn name="Column13698" id="13717"/>
    <tableColumn name="Column13699" id="13718"/>
    <tableColumn name="Column13700" id="13719"/>
    <tableColumn name="Column13701" id="13720"/>
    <tableColumn name="Column13702" id="13721"/>
    <tableColumn name="Column13703" id="13722"/>
    <tableColumn name="Column13704" id="13723"/>
    <tableColumn name="Column13705" id="13724"/>
    <tableColumn name="Column13706" id="13725"/>
    <tableColumn name="Column13707" id="13726"/>
    <tableColumn name="Column13708" id="13727"/>
    <tableColumn name="Column13709" id="13728"/>
    <tableColumn name="Column13710" id="13729"/>
    <tableColumn name="Column13711" id="13730"/>
    <tableColumn name="Column13712" id="13731"/>
    <tableColumn name="Column13713" id="13732"/>
    <tableColumn name="Column13714" id="13733"/>
    <tableColumn name="Column13715" id="13734"/>
    <tableColumn name="Column13716" id="13735"/>
    <tableColumn name="Column13717" id="13736"/>
    <tableColumn name="Column13718" id="13737"/>
    <tableColumn name="Column13719" id="13738"/>
    <tableColumn name="Column13720" id="13739"/>
    <tableColumn name="Column13721" id="13740"/>
    <tableColumn name="Column13722" id="13741"/>
    <tableColumn name="Column13723" id="13742"/>
    <tableColumn name="Column13724" id="13743"/>
    <tableColumn name="Column13725" id="13744"/>
    <tableColumn name="Column13726" id="13745"/>
    <tableColumn name="Column13727" id="13746"/>
    <tableColumn name="Column13728" id="13747"/>
    <tableColumn name="Column13729" id="13748"/>
    <tableColumn name="Column13730" id="13749"/>
    <tableColumn name="Column13731" id="13750"/>
    <tableColumn name="Column13732" id="13751"/>
    <tableColumn name="Column13733" id="13752"/>
    <tableColumn name="Column13734" id="13753"/>
    <tableColumn name="Column13735" id="13754"/>
    <tableColumn name="Column13736" id="13755"/>
    <tableColumn name="Column13737" id="13756"/>
    <tableColumn name="Column13738" id="13757"/>
    <tableColumn name="Column13739" id="13758"/>
    <tableColumn name="Column13740" id="13759"/>
    <tableColumn name="Column13741" id="13760"/>
    <tableColumn name="Column13742" id="13761"/>
    <tableColumn name="Column13743" id="13762"/>
    <tableColumn name="Column13744" id="13763"/>
    <tableColumn name="Column13745" id="13764"/>
    <tableColumn name="Column13746" id="13765"/>
    <tableColumn name="Column13747" id="13766"/>
    <tableColumn name="Column13748" id="13767"/>
    <tableColumn name="Column13749" id="13768"/>
    <tableColumn name="Column13750" id="13769"/>
    <tableColumn name="Column13751" id="13770"/>
    <tableColumn name="Column13752" id="13771"/>
    <tableColumn name="Column13753" id="13772"/>
    <tableColumn name="Column13754" id="13773"/>
    <tableColumn name="Column13755" id="13774"/>
    <tableColumn name="Column13756" id="13775"/>
    <tableColumn name="Column13757" id="13776"/>
    <tableColumn name="Column13758" id="13777"/>
    <tableColumn name="Column13759" id="13778"/>
    <tableColumn name="Column13760" id="13779"/>
    <tableColumn name="Column13761" id="13780"/>
    <tableColumn name="Column13762" id="13781"/>
    <tableColumn name="Column13763" id="13782"/>
    <tableColumn name="Column13764" id="13783"/>
    <tableColumn name="Column13765" id="13784"/>
    <tableColumn name="Column13766" id="13785"/>
    <tableColumn name="Column13767" id="13786"/>
    <tableColumn name="Column13768" id="13787"/>
    <tableColumn name="Column13769" id="13788"/>
    <tableColumn name="Column13770" id="13789"/>
    <tableColumn name="Column13771" id="13790"/>
    <tableColumn name="Column13772" id="13791"/>
    <tableColumn name="Column13773" id="13792"/>
    <tableColumn name="Column13774" id="13793"/>
    <tableColumn name="Column13775" id="13794"/>
    <tableColumn name="Column13776" id="13795"/>
    <tableColumn name="Column13777" id="13796"/>
    <tableColumn name="Column13778" id="13797"/>
    <tableColumn name="Column13779" id="13798"/>
    <tableColumn name="Column13780" id="13799"/>
    <tableColumn name="Column13781" id="13800"/>
    <tableColumn name="Column13782" id="13801"/>
    <tableColumn name="Column13783" id="13802"/>
    <tableColumn name="Column13784" id="13803"/>
    <tableColumn name="Column13785" id="13804"/>
    <tableColumn name="Column13786" id="13805"/>
    <tableColumn name="Column13787" id="13806"/>
    <tableColumn name="Column13788" id="13807"/>
    <tableColumn name="Column13789" id="13808"/>
    <tableColumn name="Column13790" id="13809"/>
    <tableColumn name="Column13791" id="13810"/>
    <tableColumn name="Column13792" id="13811"/>
    <tableColumn name="Column13793" id="13812"/>
    <tableColumn name="Column13794" id="13813"/>
    <tableColumn name="Column13795" id="13814"/>
    <tableColumn name="Column13796" id="13815"/>
    <tableColumn name="Column13797" id="13816"/>
    <tableColumn name="Column13798" id="13817"/>
    <tableColumn name="Column13799" id="13818"/>
    <tableColumn name="Column13800" id="13819"/>
    <tableColumn name="Column13801" id="13820"/>
    <tableColumn name="Column13802" id="13821"/>
    <tableColumn name="Column13803" id="13822"/>
    <tableColumn name="Column13804" id="13823"/>
    <tableColumn name="Column13805" id="13824"/>
    <tableColumn name="Column13806" id="13825"/>
    <tableColumn name="Column13807" id="13826"/>
    <tableColumn name="Column13808" id="13827"/>
    <tableColumn name="Column13809" id="13828"/>
    <tableColumn name="Column13810" id="13829"/>
    <tableColumn name="Column13811" id="13830"/>
    <tableColumn name="Column13812" id="13831"/>
    <tableColumn name="Column13813" id="13832"/>
    <tableColumn name="Column13814" id="13833"/>
    <tableColumn name="Column13815" id="13834"/>
    <tableColumn name="Column13816" id="13835"/>
    <tableColumn name="Column13817" id="13836"/>
    <tableColumn name="Column13818" id="13837"/>
    <tableColumn name="Column13819" id="13838"/>
    <tableColumn name="Column13820" id="13839"/>
    <tableColumn name="Column13821" id="13840"/>
    <tableColumn name="Column13822" id="13841"/>
    <tableColumn name="Column13823" id="13842"/>
    <tableColumn name="Column13824" id="13843"/>
    <tableColumn name="Column13825" id="13844"/>
    <tableColumn name="Column13826" id="13845"/>
    <tableColumn name="Column13827" id="13846"/>
    <tableColumn name="Column13828" id="13847"/>
    <tableColumn name="Column13829" id="13848"/>
    <tableColumn name="Column13830" id="13849"/>
    <tableColumn name="Column13831" id="13850"/>
    <tableColumn name="Column13832" id="13851"/>
    <tableColumn name="Column13833" id="13852"/>
    <tableColumn name="Column13834" id="13853"/>
    <tableColumn name="Column13835" id="13854"/>
    <tableColumn name="Column13836" id="13855"/>
    <tableColumn name="Column13837" id="13856"/>
    <tableColumn name="Column13838" id="13857"/>
    <tableColumn name="Column13839" id="13858"/>
    <tableColumn name="Column13840" id="13859"/>
    <tableColumn name="Column13841" id="13860"/>
    <tableColumn name="Column13842" id="13861"/>
    <tableColumn name="Column13843" id="13862"/>
    <tableColumn name="Column13844" id="13863"/>
    <tableColumn name="Column13845" id="13864"/>
    <tableColumn name="Column13846" id="13865"/>
    <tableColumn name="Column13847" id="13866"/>
    <tableColumn name="Column13848" id="13867"/>
    <tableColumn name="Column13849" id="13868"/>
    <tableColumn name="Column13850" id="13869"/>
    <tableColumn name="Column13851" id="13870"/>
    <tableColumn name="Column13852" id="13871"/>
    <tableColumn name="Column13853" id="13872"/>
    <tableColumn name="Column13854" id="13873"/>
    <tableColumn name="Column13855" id="13874"/>
    <tableColumn name="Column13856" id="13875"/>
    <tableColumn name="Column13857" id="13876"/>
    <tableColumn name="Column13858" id="13877"/>
    <tableColumn name="Column13859" id="13878"/>
    <tableColumn name="Column13860" id="13879"/>
    <tableColumn name="Column13861" id="13880"/>
    <tableColumn name="Column13862" id="13881"/>
    <tableColumn name="Column13863" id="13882"/>
    <tableColumn name="Column13864" id="13883"/>
    <tableColumn name="Column13865" id="13884"/>
    <tableColumn name="Column13866" id="13885"/>
    <tableColumn name="Column13867" id="13886"/>
    <tableColumn name="Column13868" id="13887"/>
    <tableColumn name="Column13869" id="13888"/>
    <tableColumn name="Column13870" id="13889"/>
    <tableColumn name="Column13871" id="13890"/>
    <tableColumn name="Column13872" id="13891"/>
    <tableColumn name="Column13873" id="13892"/>
    <tableColumn name="Column13874" id="13893"/>
    <tableColumn name="Column13875" id="13894"/>
    <tableColumn name="Column13876" id="13895"/>
    <tableColumn name="Column13877" id="13896"/>
    <tableColumn name="Column13878" id="13897"/>
    <tableColumn name="Column13879" id="13898"/>
    <tableColumn name="Column13880" id="13899"/>
    <tableColumn name="Column13881" id="13900"/>
    <tableColumn name="Column13882" id="13901"/>
    <tableColumn name="Column13883" id="13902"/>
    <tableColumn name="Column13884" id="13903"/>
    <tableColumn name="Column13885" id="13904"/>
    <tableColumn name="Column13886" id="13905"/>
    <tableColumn name="Column13887" id="13906"/>
    <tableColumn name="Column13888" id="13907"/>
    <tableColumn name="Column13889" id="13908"/>
    <tableColumn name="Column13890" id="13909"/>
    <tableColumn name="Column13891" id="13910"/>
    <tableColumn name="Column13892" id="13911"/>
    <tableColumn name="Column13893" id="13912"/>
    <tableColumn name="Column13894" id="13913"/>
    <tableColumn name="Column13895" id="13914"/>
    <tableColumn name="Column13896" id="13915"/>
    <tableColumn name="Column13897" id="13916"/>
    <tableColumn name="Column13898" id="13917"/>
    <tableColumn name="Column13899" id="13918"/>
    <tableColumn name="Column13900" id="13919"/>
    <tableColumn name="Column13901" id="13920"/>
    <tableColumn name="Column13902" id="13921"/>
    <tableColumn name="Column13903" id="13922"/>
    <tableColumn name="Column13904" id="13923"/>
    <tableColumn name="Column13905" id="13924"/>
    <tableColumn name="Column13906" id="13925"/>
    <tableColumn name="Column13907" id="13926"/>
    <tableColumn name="Column13908" id="13927"/>
    <tableColumn name="Column13909" id="13928"/>
    <tableColumn name="Column13910" id="13929"/>
    <tableColumn name="Column13911" id="13930"/>
    <tableColumn name="Column13912" id="13931"/>
    <tableColumn name="Column13913" id="13932"/>
    <tableColumn name="Column13914" id="13933"/>
    <tableColumn name="Column13915" id="13934"/>
    <tableColumn name="Column13916" id="13935"/>
    <tableColumn name="Column13917" id="13936"/>
    <tableColumn name="Column13918" id="13937"/>
    <tableColumn name="Column13919" id="13938"/>
    <tableColumn name="Column13920" id="13939"/>
    <tableColumn name="Column13921" id="13940"/>
    <tableColumn name="Column13922" id="13941"/>
    <tableColumn name="Column13923" id="13942"/>
    <tableColumn name="Column13924" id="13943"/>
    <tableColumn name="Column13925" id="13944"/>
    <tableColumn name="Column13926" id="13945"/>
    <tableColumn name="Column13927" id="13946"/>
    <tableColumn name="Column13928" id="13947"/>
    <tableColumn name="Column13929" id="13948"/>
    <tableColumn name="Column13930" id="13949"/>
    <tableColumn name="Column13931" id="13950"/>
    <tableColumn name="Column13932" id="13951"/>
    <tableColumn name="Column13933" id="13952"/>
    <tableColumn name="Column13934" id="13953"/>
    <tableColumn name="Column13935" id="13954"/>
    <tableColumn name="Column13936" id="13955"/>
    <tableColumn name="Column13937" id="13956"/>
    <tableColumn name="Column13938" id="13957"/>
    <tableColumn name="Column13939" id="13958"/>
    <tableColumn name="Column13940" id="13959"/>
    <tableColumn name="Column13941" id="13960"/>
    <tableColumn name="Column13942" id="13961"/>
    <tableColumn name="Column13943" id="13962"/>
    <tableColumn name="Column13944" id="13963"/>
    <tableColumn name="Column13945" id="13964"/>
    <tableColumn name="Column13946" id="13965"/>
    <tableColumn name="Column13947" id="13966"/>
    <tableColumn name="Column13948" id="13967"/>
    <tableColumn name="Column13949" id="13968"/>
    <tableColumn name="Column13950" id="13969"/>
    <tableColumn name="Column13951" id="13970"/>
    <tableColumn name="Column13952" id="13971"/>
    <tableColumn name="Column13953" id="13972"/>
    <tableColumn name="Column13954" id="13973"/>
    <tableColumn name="Column13955" id="13974"/>
    <tableColumn name="Column13956" id="13975"/>
    <tableColumn name="Column13957" id="13976"/>
    <tableColumn name="Column13958" id="13977"/>
    <tableColumn name="Column13959" id="13978"/>
    <tableColumn name="Column13960" id="13979"/>
    <tableColumn name="Column13961" id="13980"/>
    <tableColumn name="Column13962" id="13981"/>
    <tableColumn name="Column13963" id="13982"/>
    <tableColumn name="Column13964" id="13983"/>
    <tableColumn name="Column13965" id="13984"/>
    <tableColumn name="Column13966" id="13985"/>
    <tableColumn name="Column13967" id="13986"/>
    <tableColumn name="Column13968" id="13987"/>
    <tableColumn name="Column13969" id="13988"/>
    <tableColumn name="Column13970" id="13989"/>
    <tableColumn name="Column13971" id="13990"/>
    <tableColumn name="Column13972" id="13991"/>
    <tableColumn name="Column13973" id="13992"/>
    <tableColumn name="Column13974" id="13993"/>
    <tableColumn name="Column13975" id="13994"/>
    <tableColumn name="Column13976" id="13995"/>
    <tableColumn name="Column13977" id="13996"/>
    <tableColumn name="Column13978" id="13997"/>
    <tableColumn name="Column13979" id="13998"/>
    <tableColumn name="Column13980" id="13999"/>
    <tableColumn name="Column13981" id="14000"/>
    <tableColumn name="Column13982" id="14001"/>
    <tableColumn name="Column13983" id="14002"/>
    <tableColumn name="Column13984" id="14003"/>
    <tableColumn name="Column13985" id="14004"/>
    <tableColumn name="Column13986" id="14005"/>
    <tableColumn name="Column13987" id="14006"/>
    <tableColumn name="Column13988" id="14007"/>
    <tableColumn name="Column13989" id="14008"/>
    <tableColumn name="Column13990" id="14009"/>
    <tableColumn name="Column13991" id="14010"/>
    <tableColumn name="Column13992" id="14011"/>
    <tableColumn name="Column13993" id="14012"/>
    <tableColumn name="Column13994" id="14013"/>
    <tableColumn name="Column13995" id="14014"/>
    <tableColumn name="Column13996" id="14015"/>
    <tableColumn name="Column13997" id="14016"/>
    <tableColumn name="Column13998" id="14017"/>
    <tableColumn name="Column13999" id="14018"/>
    <tableColumn name="Column14000" id="14019"/>
    <tableColumn name="Column14001" id="14020"/>
    <tableColumn name="Column14002" id="14021"/>
    <tableColumn name="Column14003" id="14022"/>
    <tableColumn name="Column14004" id="14023"/>
    <tableColumn name="Column14005" id="14024"/>
    <tableColumn name="Column14006" id="14025"/>
    <tableColumn name="Column14007" id="14026"/>
    <tableColumn name="Column14008" id="14027"/>
    <tableColumn name="Column14009" id="14028"/>
    <tableColumn name="Column14010" id="14029"/>
    <tableColumn name="Column14011" id="14030"/>
    <tableColumn name="Column14012" id="14031"/>
    <tableColumn name="Column14013" id="14032"/>
    <tableColumn name="Column14014" id="14033"/>
    <tableColumn name="Column14015" id="14034"/>
    <tableColumn name="Column14016" id="14035"/>
    <tableColumn name="Column14017" id="14036"/>
    <tableColumn name="Column14018" id="14037"/>
    <tableColumn name="Column14019" id="14038"/>
    <tableColumn name="Column14020" id="14039"/>
    <tableColumn name="Column14021" id="14040"/>
    <tableColumn name="Column14022" id="14041"/>
    <tableColumn name="Column14023" id="14042"/>
    <tableColumn name="Column14024" id="14043"/>
    <tableColumn name="Column14025" id="14044"/>
    <tableColumn name="Column14026" id="14045"/>
    <tableColumn name="Column14027" id="14046"/>
    <tableColumn name="Column14028" id="14047"/>
    <tableColumn name="Column14029" id="14048"/>
    <tableColumn name="Column14030" id="14049"/>
    <tableColumn name="Column14031" id="14050"/>
    <tableColumn name="Column14032" id="14051"/>
    <tableColumn name="Column14033" id="14052"/>
    <tableColumn name="Column14034" id="14053"/>
    <tableColumn name="Column14035" id="14054"/>
    <tableColumn name="Column14036" id="14055"/>
    <tableColumn name="Column14037" id="14056"/>
    <tableColumn name="Column14038" id="14057"/>
    <tableColumn name="Column14039" id="14058"/>
    <tableColumn name="Column14040" id="14059"/>
    <tableColumn name="Column14041" id="14060"/>
    <tableColumn name="Column14042" id="14061"/>
    <tableColumn name="Column14043" id="14062"/>
    <tableColumn name="Column14044" id="14063"/>
    <tableColumn name="Column14045" id="14064"/>
    <tableColumn name="Column14046" id="14065"/>
    <tableColumn name="Column14047" id="14066"/>
    <tableColumn name="Column14048" id="14067"/>
    <tableColumn name="Column14049" id="14068"/>
    <tableColumn name="Column14050" id="14069"/>
    <tableColumn name="Column14051" id="14070"/>
    <tableColumn name="Column14052" id="14071"/>
    <tableColumn name="Column14053" id="14072"/>
    <tableColumn name="Column14054" id="14073"/>
    <tableColumn name="Column14055" id="14074"/>
    <tableColumn name="Column14056" id="14075"/>
    <tableColumn name="Column14057" id="14076"/>
    <tableColumn name="Column14058" id="14077"/>
    <tableColumn name="Column14059" id="14078"/>
    <tableColumn name="Column14060" id="14079"/>
    <tableColumn name="Column14061" id="14080"/>
    <tableColumn name="Column14062" id="14081"/>
    <tableColumn name="Column14063" id="14082"/>
    <tableColumn name="Column14064" id="14083"/>
    <tableColumn name="Column14065" id="14084"/>
    <tableColumn name="Column14066" id="14085"/>
    <tableColumn name="Column14067" id="14086"/>
    <tableColumn name="Column14068" id="14087"/>
    <tableColumn name="Column14069" id="14088"/>
    <tableColumn name="Column14070" id="14089"/>
    <tableColumn name="Column14071" id="14090"/>
    <tableColumn name="Column14072" id="14091"/>
    <tableColumn name="Column14073" id="14092"/>
    <tableColumn name="Column14074" id="14093"/>
    <tableColumn name="Column14075" id="14094"/>
    <tableColumn name="Column14076" id="14095"/>
    <tableColumn name="Column14077" id="14096"/>
    <tableColumn name="Column14078" id="14097"/>
    <tableColumn name="Column14079" id="14098"/>
    <tableColumn name="Column14080" id="14099"/>
    <tableColumn name="Column14081" id="14100"/>
    <tableColumn name="Column14082" id="14101"/>
    <tableColumn name="Column14083" id="14102"/>
    <tableColumn name="Column14084" id="14103"/>
    <tableColumn name="Column14085" id="14104"/>
    <tableColumn name="Column14086" id="14105"/>
    <tableColumn name="Column14087" id="14106"/>
    <tableColumn name="Column14088" id="14107"/>
    <tableColumn name="Column14089" id="14108"/>
    <tableColumn name="Column14090" id="14109"/>
    <tableColumn name="Column14091" id="14110"/>
    <tableColumn name="Column14092" id="14111"/>
    <tableColumn name="Column14093" id="14112"/>
    <tableColumn name="Column14094" id="14113"/>
    <tableColumn name="Column14095" id="14114"/>
    <tableColumn name="Column14096" id="14115"/>
    <tableColumn name="Column14097" id="14116"/>
    <tableColumn name="Column14098" id="14117"/>
    <tableColumn name="Column14099" id="14118"/>
    <tableColumn name="Column14100" id="14119"/>
    <tableColumn name="Column14101" id="14120"/>
    <tableColumn name="Column14102" id="14121"/>
    <tableColumn name="Column14103" id="14122"/>
    <tableColumn name="Column14104" id="14123"/>
    <tableColumn name="Column14105" id="14124"/>
    <tableColumn name="Column14106" id="14125"/>
    <tableColumn name="Column14107" id="14126"/>
    <tableColumn name="Column14108" id="14127"/>
    <tableColumn name="Column14109" id="14128"/>
    <tableColumn name="Column14110" id="14129"/>
    <tableColumn name="Column14111" id="14130"/>
    <tableColumn name="Column14112" id="14131"/>
    <tableColumn name="Column14113" id="14132"/>
    <tableColumn name="Column14114" id="14133"/>
    <tableColumn name="Column14115" id="14134"/>
    <tableColumn name="Column14116" id="14135"/>
    <tableColumn name="Column14117" id="14136"/>
    <tableColumn name="Column14118" id="14137"/>
    <tableColumn name="Column14119" id="14138"/>
    <tableColumn name="Column14120" id="14139"/>
    <tableColumn name="Column14121" id="14140"/>
    <tableColumn name="Column14122" id="14141"/>
    <tableColumn name="Column14123" id="14142"/>
    <tableColumn name="Column14124" id="14143"/>
    <tableColumn name="Column14125" id="14144"/>
    <tableColumn name="Column14126" id="14145"/>
    <tableColumn name="Column14127" id="14146"/>
    <tableColumn name="Column14128" id="14147"/>
    <tableColumn name="Column14129" id="14148"/>
    <tableColumn name="Column14130" id="14149"/>
    <tableColumn name="Column14131" id="14150"/>
    <tableColumn name="Column14132" id="14151"/>
    <tableColumn name="Column14133" id="14152"/>
    <tableColumn name="Column14134" id="14153"/>
    <tableColumn name="Column14135" id="14154"/>
    <tableColumn name="Column14136" id="14155"/>
    <tableColumn name="Column14137" id="14156"/>
    <tableColumn name="Column14138" id="14157"/>
    <tableColumn name="Column14139" id="14158"/>
    <tableColumn name="Column14140" id="14159"/>
    <tableColumn name="Column14141" id="14160"/>
    <tableColumn name="Column14142" id="14161"/>
    <tableColumn name="Column14143" id="14162"/>
    <tableColumn name="Column14144" id="14163"/>
    <tableColumn name="Column14145" id="14164"/>
    <tableColumn name="Column14146" id="14165"/>
    <tableColumn name="Column14147" id="14166"/>
    <tableColumn name="Column14148" id="14167"/>
    <tableColumn name="Column14149" id="14168"/>
    <tableColumn name="Column14150" id="14169"/>
    <tableColumn name="Column14151" id="14170"/>
    <tableColumn name="Column14152" id="14171"/>
    <tableColumn name="Column14153" id="14172"/>
    <tableColumn name="Column14154" id="14173"/>
    <tableColumn name="Column14155" id="14174"/>
    <tableColumn name="Column14156" id="14175"/>
    <tableColumn name="Column14157" id="14176"/>
    <tableColumn name="Column14158" id="14177"/>
    <tableColumn name="Column14159" id="14178"/>
    <tableColumn name="Column14160" id="14179"/>
    <tableColumn name="Column14161" id="14180"/>
    <tableColumn name="Column14162" id="14181"/>
    <tableColumn name="Column14163" id="14182"/>
    <tableColumn name="Column14164" id="14183"/>
    <tableColumn name="Column14165" id="14184"/>
    <tableColumn name="Column14166" id="14185"/>
    <tableColumn name="Column14167" id="14186"/>
    <tableColumn name="Column14168" id="14187"/>
    <tableColumn name="Column14169" id="14188"/>
    <tableColumn name="Column14170" id="14189"/>
    <tableColumn name="Column14171" id="14190"/>
    <tableColumn name="Column14172" id="14191"/>
    <tableColumn name="Column14173" id="14192"/>
    <tableColumn name="Column14174" id="14193"/>
    <tableColumn name="Column14175" id="14194"/>
    <tableColumn name="Column14176" id="14195"/>
    <tableColumn name="Column14177" id="14196"/>
    <tableColumn name="Column14178" id="14197"/>
    <tableColumn name="Column14179" id="14198"/>
    <tableColumn name="Column14180" id="14199"/>
    <tableColumn name="Column14181" id="14200"/>
    <tableColumn name="Column14182" id="14201"/>
    <tableColumn name="Column14183" id="14202"/>
    <tableColumn name="Column14184" id="14203"/>
    <tableColumn name="Column14185" id="14204"/>
    <tableColumn name="Column14186" id="14205"/>
    <tableColumn name="Column14187" id="14206"/>
    <tableColumn name="Column14188" id="14207"/>
    <tableColumn name="Column14189" id="14208"/>
    <tableColumn name="Column14190" id="14209"/>
    <tableColumn name="Column14191" id="14210"/>
    <tableColumn name="Column14192" id="14211"/>
    <tableColumn name="Column14193" id="14212"/>
    <tableColumn name="Column14194" id="14213"/>
    <tableColumn name="Column14195" id="14214"/>
    <tableColumn name="Column14196" id="14215"/>
    <tableColumn name="Column14197" id="14216"/>
    <tableColumn name="Column14198" id="14217"/>
    <tableColumn name="Column14199" id="14218"/>
    <tableColumn name="Column14200" id="14219"/>
    <tableColumn name="Column14201" id="14220"/>
    <tableColumn name="Column14202" id="14221"/>
    <tableColumn name="Column14203" id="14222"/>
    <tableColumn name="Column14204" id="14223"/>
    <tableColumn name="Column14205" id="14224"/>
    <tableColumn name="Column14206" id="14225"/>
    <tableColumn name="Column14207" id="14226"/>
    <tableColumn name="Column14208" id="14227"/>
    <tableColumn name="Column14209" id="14228"/>
    <tableColumn name="Column14210" id="14229"/>
    <tableColumn name="Column14211" id="14230"/>
    <tableColumn name="Column14212" id="14231"/>
    <tableColumn name="Column14213" id="14232"/>
    <tableColumn name="Column14214" id="14233"/>
    <tableColumn name="Column14215" id="14234"/>
    <tableColumn name="Column14216" id="14235"/>
    <tableColumn name="Column14217" id="14236"/>
    <tableColumn name="Column14218" id="14237"/>
    <tableColumn name="Column14219" id="14238"/>
    <tableColumn name="Column14220" id="14239"/>
    <tableColumn name="Column14221" id="14240"/>
    <tableColumn name="Column14222" id="14241"/>
    <tableColumn name="Column14223" id="14242"/>
    <tableColumn name="Column14224" id="14243"/>
    <tableColumn name="Column14225" id="14244"/>
    <tableColumn name="Column14226" id="14245"/>
    <tableColumn name="Column14227" id="14246"/>
    <tableColumn name="Column14228" id="14247"/>
    <tableColumn name="Column14229" id="14248"/>
    <tableColumn name="Column14230" id="14249"/>
    <tableColumn name="Column14231" id="14250"/>
    <tableColumn name="Column14232" id="14251"/>
    <tableColumn name="Column14233" id="14252"/>
    <tableColumn name="Column14234" id="14253"/>
    <tableColumn name="Column14235" id="14254"/>
    <tableColumn name="Column14236" id="14255"/>
    <tableColumn name="Column14237" id="14256"/>
    <tableColumn name="Column14238" id="14257"/>
    <tableColumn name="Column14239" id="14258"/>
    <tableColumn name="Column14240" id="14259"/>
    <tableColumn name="Column14241" id="14260"/>
    <tableColumn name="Column14242" id="14261"/>
    <tableColumn name="Column14243" id="14262"/>
    <tableColumn name="Column14244" id="14263"/>
    <tableColumn name="Column14245" id="14264"/>
    <tableColumn name="Column14246" id="14265"/>
    <tableColumn name="Column14247" id="14266"/>
    <tableColumn name="Column14248" id="14267"/>
    <tableColumn name="Column14249" id="14268"/>
    <tableColumn name="Column14250" id="14269"/>
    <tableColumn name="Column14251" id="14270"/>
    <tableColumn name="Column14252" id="14271"/>
    <tableColumn name="Column14253" id="14272"/>
    <tableColumn name="Column14254" id="14273"/>
    <tableColumn name="Column14255" id="14274"/>
    <tableColumn name="Column14256" id="14275"/>
    <tableColumn name="Column14257" id="14276"/>
    <tableColumn name="Column14258" id="14277"/>
    <tableColumn name="Column14259" id="14278"/>
    <tableColumn name="Column14260" id="14279"/>
    <tableColumn name="Column14261" id="14280"/>
    <tableColumn name="Column14262" id="14281"/>
    <tableColumn name="Column14263" id="14282"/>
    <tableColumn name="Column14264" id="14283"/>
    <tableColumn name="Column14265" id="14284"/>
    <tableColumn name="Column14266" id="14285"/>
    <tableColumn name="Column14267" id="14286"/>
    <tableColumn name="Column14268" id="14287"/>
    <tableColumn name="Column14269" id="14288"/>
    <tableColumn name="Column14270" id="14289"/>
    <tableColumn name="Column14271" id="14290"/>
    <tableColumn name="Column14272" id="14291"/>
    <tableColumn name="Column14273" id="14292"/>
    <tableColumn name="Column14274" id="14293"/>
    <tableColumn name="Column14275" id="14294"/>
    <tableColumn name="Column14276" id="14295"/>
    <tableColumn name="Column14277" id="14296"/>
    <tableColumn name="Column14278" id="14297"/>
    <tableColumn name="Column14279" id="14298"/>
    <tableColumn name="Column14280" id="14299"/>
    <tableColumn name="Column14281" id="14300"/>
    <tableColumn name="Column14282" id="14301"/>
    <tableColumn name="Column14283" id="14302"/>
    <tableColumn name="Column14284" id="14303"/>
    <tableColumn name="Column14285" id="14304"/>
    <tableColumn name="Column14286" id="14305"/>
    <tableColumn name="Column14287" id="14306"/>
    <tableColumn name="Column14288" id="14307"/>
    <tableColumn name="Column14289" id="14308"/>
    <tableColumn name="Column14290" id="14309"/>
    <tableColumn name="Column14291" id="14310"/>
    <tableColumn name="Column14292" id="14311"/>
    <tableColumn name="Column14293" id="14312"/>
    <tableColumn name="Column14294" id="14313"/>
    <tableColumn name="Column14295" id="14314"/>
    <tableColumn name="Column14296" id="14315"/>
    <tableColumn name="Column14297" id="14316"/>
    <tableColumn name="Column14298" id="14317"/>
    <tableColumn name="Column14299" id="14318"/>
    <tableColumn name="Column14300" id="14319"/>
    <tableColumn name="Column14301" id="14320"/>
    <tableColumn name="Column14302" id="14321"/>
    <tableColumn name="Column14303" id="14322"/>
    <tableColumn name="Column14304" id="14323"/>
    <tableColumn name="Column14305" id="14324"/>
    <tableColumn name="Column14306" id="14325"/>
    <tableColumn name="Column14307" id="14326"/>
    <tableColumn name="Column14308" id="14327"/>
    <tableColumn name="Column14309" id="14328"/>
    <tableColumn name="Column14310" id="14329"/>
    <tableColumn name="Column14311" id="14330"/>
    <tableColumn name="Column14312" id="14331"/>
    <tableColumn name="Column14313" id="14332"/>
    <tableColumn name="Column14314" id="14333"/>
    <tableColumn name="Column14315" id="14334"/>
    <tableColumn name="Column14316" id="14335"/>
    <tableColumn name="Column14317" id="14336"/>
    <tableColumn name="Column14318" id="14337"/>
    <tableColumn name="Column14319" id="14338"/>
    <tableColumn name="Column14320" id="14339"/>
    <tableColumn name="Column14321" id="14340"/>
    <tableColumn name="Column14322" id="14341"/>
    <tableColumn name="Column14323" id="14342"/>
    <tableColumn name="Column14324" id="14343"/>
    <tableColumn name="Column14325" id="14344"/>
    <tableColumn name="Column14326" id="14345"/>
    <tableColumn name="Column14327" id="14346"/>
    <tableColumn name="Column14328" id="14347"/>
    <tableColumn name="Column14329" id="14348"/>
    <tableColumn name="Column14330" id="14349"/>
    <tableColumn name="Column14331" id="14350"/>
    <tableColumn name="Column14332" id="14351"/>
    <tableColumn name="Column14333" id="14352"/>
    <tableColumn name="Column14334" id="14353"/>
    <tableColumn name="Column14335" id="14354"/>
    <tableColumn name="Column14336" id="14355"/>
    <tableColumn name="Column14337" id="14356"/>
    <tableColumn name="Column14338" id="14357"/>
    <tableColumn name="Column14339" id="14358"/>
    <tableColumn name="Column14340" id="14359"/>
    <tableColumn name="Column14341" id="14360"/>
    <tableColumn name="Column14342" id="14361"/>
    <tableColumn name="Column14343" id="14362"/>
    <tableColumn name="Column14344" id="14363"/>
    <tableColumn name="Column14345" id="14364"/>
    <tableColumn name="Column14346" id="14365"/>
    <tableColumn name="Column14347" id="14366"/>
    <tableColumn name="Column14348" id="14367"/>
    <tableColumn name="Column14349" id="14368"/>
    <tableColumn name="Column14350" id="14369"/>
    <tableColumn name="Column14351" id="14370"/>
    <tableColumn name="Column14352" id="14371"/>
    <tableColumn name="Column14353" id="14372"/>
    <tableColumn name="Column14354" id="14373"/>
    <tableColumn name="Column14355" id="14374"/>
    <tableColumn name="Column14356" id="14375"/>
    <tableColumn name="Column14357" id="14376"/>
    <tableColumn name="Column14358" id="14377"/>
    <tableColumn name="Column14359" id="14378"/>
    <tableColumn name="Column14360" id="14379"/>
    <tableColumn name="Column14361" id="14380"/>
    <tableColumn name="Column14362" id="14381"/>
    <tableColumn name="Column14363" id="14382"/>
    <tableColumn name="Column14364" id="14383"/>
    <tableColumn name="Column14365" id="14384"/>
    <tableColumn name="Column14366" id="14385"/>
    <tableColumn name="Column14367" id="14386"/>
    <tableColumn name="Column14368" id="14387"/>
    <tableColumn name="Column14369" id="14388"/>
    <tableColumn name="Column14370" id="14389"/>
    <tableColumn name="Column14371" id="14390"/>
    <tableColumn name="Column14372" id="14391"/>
    <tableColumn name="Column14373" id="14392"/>
    <tableColumn name="Column14374" id="14393"/>
    <tableColumn name="Column14375" id="14394"/>
    <tableColumn name="Column14376" id="14395"/>
    <tableColumn name="Column14377" id="14396"/>
    <tableColumn name="Column14378" id="14397"/>
    <tableColumn name="Column14379" id="14398"/>
    <tableColumn name="Column14380" id="14399"/>
    <tableColumn name="Column14381" id="14400"/>
    <tableColumn name="Column14382" id="14401"/>
    <tableColumn name="Column14383" id="14402"/>
    <tableColumn name="Column14384" id="14403"/>
    <tableColumn name="Column14385" id="14404"/>
    <tableColumn name="Column14386" id="14405"/>
    <tableColumn name="Column14387" id="14406"/>
    <tableColumn name="Column14388" id="14407"/>
    <tableColumn name="Column14389" id="14408"/>
    <tableColumn name="Column14390" id="14409"/>
    <tableColumn name="Column14391" id="14410"/>
    <tableColumn name="Column14392" id="14411"/>
    <tableColumn name="Column14393" id="14412"/>
    <tableColumn name="Column14394" id="14413"/>
    <tableColumn name="Column14395" id="14414"/>
    <tableColumn name="Column14396" id="14415"/>
    <tableColumn name="Column14397" id="14416"/>
    <tableColumn name="Column14398" id="14417"/>
    <tableColumn name="Column14399" id="14418"/>
    <tableColumn name="Column14400" id="14419"/>
    <tableColumn name="Column14401" id="14420"/>
    <tableColumn name="Column14402" id="14421"/>
    <tableColumn name="Column14403" id="14422"/>
    <tableColumn name="Column14404" id="14423"/>
    <tableColumn name="Column14405" id="14424"/>
    <tableColumn name="Column14406" id="14425"/>
    <tableColumn name="Column14407" id="14426"/>
    <tableColumn name="Column14408" id="14427"/>
    <tableColumn name="Column14409" id="14428"/>
    <tableColumn name="Column14410" id="14429"/>
    <tableColumn name="Column14411" id="14430"/>
    <tableColumn name="Column14412" id="14431"/>
    <tableColumn name="Column14413" id="14432"/>
    <tableColumn name="Column14414" id="14433"/>
    <tableColumn name="Column14415" id="14434"/>
    <tableColumn name="Column14416" id="14435"/>
    <tableColumn name="Column14417" id="14436"/>
    <tableColumn name="Column14418" id="14437"/>
    <tableColumn name="Column14419" id="14438"/>
    <tableColumn name="Column14420" id="14439"/>
    <tableColumn name="Column14421" id="14440"/>
    <tableColumn name="Column14422" id="14441"/>
    <tableColumn name="Column14423" id="14442"/>
    <tableColumn name="Column14424" id="14443"/>
    <tableColumn name="Column14425" id="14444"/>
    <tableColumn name="Column14426" id="14445"/>
    <tableColumn name="Column14427" id="14446"/>
    <tableColumn name="Column14428" id="14447"/>
    <tableColumn name="Column14429" id="14448"/>
    <tableColumn name="Column14430" id="14449"/>
    <tableColumn name="Column14431" id="14450"/>
    <tableColumn name="Column14432" id="14451"/>
    <tableColumn name="Column14433" id="14452"/>
    <tableColumn name="Column14434" id="14453"/>
    <tableColumn name="Column14435" id="14454"/>
    <tableColumn name="Column14436" id="14455"/>
    <tableColumn name="Column14437" id="14456"/>
    <tableColumn name="Column14438" id="14457"/>
    <tableColumn name="Column14439" id="14458"/>
    <tableColumn name="Column14440" id="14459"/>
    <tableColumn name="Column14441" id="14460"/>
    <tableColumn name="Column14442" id="14461"/>
    <tableColumn name="Column14443" id="14462"/>
    <tableColumn name="Column14444" id="14463"/>
    <tableColumn name="Column14445" id="14464"/>
    <tableColumn name="Column14446" id="14465"/>
    <tableColumn name="Column14447" id="14466"/>
    <tableColumn name="Column14448" id="14467"/>
    <tableColumn name="Column14449" id="14468"/>
    <tableColumn name="Column14450" id="14469"/>
    <tableColumn name="Column14451" id="14470"/>
    <tableColumn name="Column14452" id="14471"/>
    <tableColumn name="Column14453" id="14472"/>
    <tableColumn name="Column14454" id="14473"/>
    <tableColumn name="Column14455" id="14474"/>
    <tableColumn name="Column14456" id="14475"/>
    <tableColumn name="Column14457" id="14476"/>
    <tableColumn name="Column14458" id="14477"/>
    <tableColumn name="Column14459" id="14478"/>
    <tableColumn name="Column14460" id="14479"/>
    <tableColumn name="Column14461" id="14480"/>
    <tableColumn name="Column14462" id="14481"/>
    <tableColumn name="Column14463" id="14482"/>
    <tableColumn name="Column14464" id="14483"/>
    <tableColumn name="Column14465" id="14484"/>
    <tableColumn name="Column14466" id="14485"/>
    <tableColumn name="Column14467" id="14486"/>
    <tableColumn name="Column14468" id="14487"/>
    <tableColumn name="Column14469" id="14488"/>
    <tableColumn name="Column14470" id="14489"/>
    <tableColumn name="Column14471" id="14490"/>
    <tableColumn name="Column14472" id="14491"/>
    <tableColumn name="Column14473" id="14492"/>
    <tableColumn name="Column14474" id="14493"/>
    <tableColumn name="Column14475" id="14494"/>
    <tableColumn name="Column14476" id="14495"/>
    <tableColumn name="Column14477" id="14496"/>
    <tableColumn name="Column14478" id="14497"/>
    <tableColumn name="Column14479" id="14498"/>
    <tableColumn name="Column14480" id="14499"/>
    <tableColumn name="Column14481" id="14500"/>
    <tableColumn name="Column14482" id="14501"/>
    <tableColumn name="Column14483" id="14502"/>
    <tableColumn name="Column14484" id="14503"/>
    <tableColumn name="Column14485" id="14504"/>
    <tableColumn name="Column14486" id="14505"/>
    <tableColumn name="Column14487" id="14506"/>
    <tableColumn name="Column14488" id="14507"/>
    <tableColumn name="Column14489" id="14508"/>
    <tableColumn name="Column14490" id="14509"/>
    <tableColumn name="Column14491" id="14510"/>
    <tableColumn name="Column14492" id="14511"/>
    <tableColumn name="Column14493" id="14512"/>
    <tableColumn name="Column14494" id="14513"/>
    <tableColumn name="Column14495" id="14514"/>
    <tableColumn name="Column14496" id="14515"/>
    <tableColumn name="Column14497" id="14516"/>
    <tableColumn name="Column14498" id="14517"/>
    <tableColumn name="Column14499" id="14518"/>
    <tableColumn name="Column14500" id="14519"/>
    <tableColumn name="Column14501" id="14520"/>
    <tableColumn name="Column14502" id="14521"/>
    <tableColumn name="Column14503" id="14522"/>
    <tableColumn name="Column14504" id="14523"/>
    <tableColumn name="Column14505" id="14524"/>
    <tableColumn name="Column14506" id="14525"/>
    <tableColumn name="Column14507" id="14526"/>
    <tableColumn name="Column14508" id="14527"/>
    <tableColumn name="Column14509" id="14528"/>
    <tableColumn name="Column14510" id="14529"/>
    <tableColumn name="Column14511" id="14530"/>
    <tableColumn name="Column14512" id="14531"/>
    <tableColumn name="Column14513" id="14532"/>
    <tableColumn name="Column14514" id="14533"/>
    <tableColumn name="Column14515" id="14534"/>
    <tableColumn name="Column14516" id="14535"/>
    <tableColumn name="Column14517" id="14536"/>
    <tableColumn name="Column14518" id="14537"/>
    <tableColumn name="Column14519" id="14538"/>
    <tableColumn name="Column14520" id="14539"/>
    <tableColumn name="Column14521" id="14540"/>
    <tableColumn name="Column14522" id="14541"/>
    <tableColumn name="Column14523" id="14542"/>
    <tableColumn name="Column14524" id="14543"/>
    <tableColumn name="Column14525" id="14544"/>
    <tableColumn name="Column14526" id="14545"/>
    <tableColumn name="Column14527" id="14546"/>
    <tableColumn name="Column14528" id="14547"/>
    <tableColumn name="Column14529" id="14548"/>
    <tableColumn name="Column14530" id="14549"/>
    <tableColumn name="Column14531" id="14550"/>
    <tableColumn name="Column14532" id="14551"/>
    <tableColumn name="Column14533" id="14552"/>
    <tableColumn name="Column14534" id="14553"/>
    <tableColumn name="Column14535" id="14554"/>
    <tableColumn name="Column14536" id="14555"/>
    <tableColumn name="Column14537" id="14556"/>
    <tableColumn name="Column14538" id="14557"/>
    <tableColumn name="Column14539" id="14558"/>
    <tableColumn name="Column14540" id="14559"/>
    <tableColumn name="Column14541" id="14560"/>
    <tableColumn name="Column14542" id="14561"/>
    <tableColumn name="Column14543" id="14562"/>
    <tableColumn name="Column14544" id="14563"/>
    <tableColumn name="Column14545" id="14564"/>
    <tableColumn name="Column14546" id="14565"/>
    <tableColumn name="Column14547" id="14566"/>
    <tableColumn name="Column14548" id="14567"/>
    <tableColumn name="Column14549" id="14568"/>
    <tableColumn name="Column14550" id="14569"/>
    <tableColumn name="Column14551" id="14570"/>
    <tableColumn name="Column14552" id="14571"/>
    <tableColumn name="Column14553" id="14572"/>
    <tableColumn name="Column14554" id="14573"/>
    <tableColumn name="Column14555" id="14574"/>
    <tableColumn name="Column14556" id="14575"/>
    <tableColumn name="Column14557" id="14576"/>
    <tableColumn name="Column14558" id="14577"/>
    <tableColumn name="Column14559" id="14578"/>
    <tableColumn name="Column14560" id="14579"/>
    <tableColumn name="Column14561" id="14580"/>
    <tableColumn name="Column14562" id="14581"/>
    <tableColumn name="Column14563" id="14582"/>
    <tableColumn name="Column14564" id="14583"/>
    <tableColumn name="Column14565" id="14584"/>
    <tableColumn name="Column14566" id="14585"/>
    <tableColumn name="Column14567" id="14586"/>
    <tableColumn name="Column14568" id="14587"/>
    <tableColumn name="Column14569" id="14588"/>
    <tableColumn name="Column14570" id="14589"/>
    <tableColumn name="Column14571" id="14590"/>
    <tableColumn name="Column14572" id="14591"/>
    <tableColumn name="Column14573" id="14592"/>
    <tableColumn name="Column14574" id="14593"/>
    <tableColumn name="Column14575" id="14594"/>
    <tableColumn name="Column14576" id="14595"/>
    <tableColumn name="Column14577" id="14596"/>
    <tableColumn name="Column14578" id="14597"/>
    <tableColumn name="Column14579" id="14598"/>
    <tableColumn name="Column14580" id="14599"/>
    <tableColumn name="Column14581" id="14600"/>
    <tableColumn name="Column14582" id="14601"/>
    <tableColumn name="Column14583" id="14602"/>
    <tableColumn name="Column14584" id="14603"/>
    <tableColumn name="Column14585" id="14604"/>
    <tableColumn name="Column14586" id="14605"/>
    <tableColumn name="Column14587" id="14606"/>
    <tableColumn name="Column14588" id="14607"/>
    <tableColumn name="Column14589" id="14608"/>
    <tableColumn name="Column14590" id="14609"/>
    <tableColumn name="Column14591" id="14610"/>
    <tableColumn name="Column14592" id="14611"/>
    <tableColumn name="Column14593" id="14612"/>
    <tableColumn name="Column14594" id="14613"/>
    <tableColumn name="Column14595" id="14614"/>
    <tableColumn name="Column14596" id="14615"/>
    <tableColumn name="Column14597" id="14616"/>
    <tableColumn name="Column14598" id="14617"/>
    <tableColumn name="Column14599" id="14618"/>
    <tableColumn name="Column14600" id="14619"/>
    <tableColumn name="Column14601" id="14620"/>
    <tableColumn name="Column14602" id="14621"/>
    <tableColumn name="Column14603" id="14622"/>
    <tableColumn name="Column14604" id="14623"/>
    <tableColumn name="Column14605" id="14624"/>
    <tableColumn name="Column14606" id="14625"/>
    <tableColumn name="Column14607" id="14626"/>
    <tableColumn name="Column14608" id="14627"/>
    <tableColumn name="Column14609" id="14628"/>
    <tableColumn name="Column14610" id="14629"/>
    <tableColumn name="Column14611" id="14630"/>
    <tableColumn name="Column14612" id="14631"/>
    <tableColumn name="Column14613" id="14632"/>
    <tableColumn name="Column14614" id="14633"/>
    <tableColumn name="Column14615" id="14634"/>
    <tableColumn name="Column14616" id="14635"/>
    <tableColumn name="Column14617" id="14636"/>
    <tableColumn name="Column14618" id="14637"/>
    <tableColumn name="Column14619" id="14638"/>
    <tableColumn name="Column14620" id="14639"/>
    <tableColumn name="Column14621" id="14640"/>
    <tableColumn name="Column14622" id="14641"/>
    <tableColumn name="Column14623" id="14642"/>
    <tableColumn name="Column14624" id="14643"/>
    <tableColumn name="Column14625" id="14644"/>
    <tableColumn name="Column14626" id="14645"/>
    <tableColumn name="Column14627" id="14646"/>
    <tableColumn name="Column14628" id="14647"/>
    <tableColumn name="Column14629" id="14648"/>
    <tableColumn name="Column14630" id="14649"/>
    <tableColumn name="Column14631" id="14650"/>
    <tableColumn name="Column14632" id="14651"/>
    <tableColumn name="Column14633" id="14652"/>
    <tableColumn name="Column14634" id="14653"/>
    <tableColumn name="Column14635" id="14654"/>
    <tableColumn name="Column14636" id="14655"/>
    <tableColumn name="Column14637" id="14656"/>
    <tableColumn name="Column14638" id="14657"/>
    <tableColumn name="Column14639" id="14658"/>
    <tableColumn name="Column14640" id="14659"/>
    <tableColumn name="Column14641" id="14660"/>
    <tableColumn name="Column14642" id="14661"/>
    <tableColumn name="Column14643" id="14662"/>
    <tableColumn name="Column14644" id="14663"/>
    <tableColumn name="Column14645" id="14664"/>
    <tableColumn name="Column14646" id="14665"/>
    <tableColumn name="Column14647" id="14666"/>
    <tableColumn name="Column14648" id="14667"/>
    <tableColumn name="Column14649" id="14668"/>
    <tableColumn name="Column14650" id="14669"/>
    <tableColumn name="Column14651" id="14670"/>
    <tableColumn name="Column14652" id="14671"/>
    <tableColumn name="Column14653" id="14672"/>
    <tableColumn name="Column14654" id="14673"/>
    <tableColumn name="Column14655" id="14674"/>
    <tableColumn name="Column14656" id="14675"/>
    <tableColumn name="Column14657" id="14676"/>
    <tableColumn name="Column14658" id="14677"/>
    <tableColumn name="Column14659" id="14678"/>
    <tableColumn name="Column14660" id="14679"/>
    <tableColumn name="Column14661" id="14680"/>
    <tableColumn name="Column14662" id="14681"/>
    <tableColumn name="Column14663" id="14682"/>
    <tableColumn name="Column14664" id="14683"/>
    <tableColumn name="Column14665" id="14684"/>
    <tableColumn name="Column14666" id="14685"/>
    <tableColumn name="Column14667" id="14686"/>
    <tableColumn name="Column14668" id="14687"/>
    <tableColumn name="Column14669" id="14688"/>
    <tableColumn name="Column14670" id="14689"/>
    <tableColumn name="Column14671" id="14690"/>
    <tableColumn name="Column14672" id="14691"/>
    <tableColumn name="Column14673" id="14692"/>
    <tableColumn name="Column14674" id="14693"/>
    <tableColumn name="Column14675" id="14694"/>
    <tableColumn name="Column14676" id="14695"/>
    <tableColumn name="Column14677" id="14696"/>
    <tableColumn name="Column14678" id="14697"/>
    <tableColumn name="Column14679" id="14698"/>
    <tableColumn name="Column14680" id="14699"/>
    <tableColumn name="Column14681" id="14700"/>
    <tableColumn name="Column14682" id="14701"/>
    <tableColumn name="Column14683" id="14702"/>
    <tableColumn name="Column14684" id="14703"/>
    <tableColumn name="Column14685" id="14704"/>
    <tableColumn name="Column14686" id="14705"/>
    <tableColumn name="Column14687" id="14706"/>
    <tableColumn name="Column14688" id="14707"/>
    <tableColumn name="Column14689" id="14708"/>
    <tableColumn name="Column14690" id="14709"/>
    <tableColumn name="Column14691" id="14710"/>
    <tableColumn name="Column14692" id="14711"/>
    <tableColumn name="Column14693" id="14712"/>
    <tableColumn name="Column14694" id="14713"/>
    <tableColumn name="Column14695" id="14714"/>
    <tableColumn name="Column14696" id="14715"/>
    <tableColumn name="Column14697" id="14716"/>
    <tableColumn name="Column14698" id="14717"/>
    <tableColumn name="Column14699" id="14718"/>
    <tableColumn name="Column14700" id="14719"/>
    <tableColumn name="Column14701" id="14720"/>
    <tableColumn name="Column14702" id="14721"/>
    <tableColumn name="Column14703" id="14722"/>
    <tableColumn name="Column14704" id="14723"/>
    <tableColumn name="Column14705" id="14724"/>
    <tableColumn name="Column14706" id="14725"/>
    <tableColumn name="Column14707" id="14726"/>
    <tableColumn name="Column14708" id="14727"/>
    <tableColumn name="Column14709" id="14728"/>
    <tableColumn name="Column14710" id="14729"/>
    <tableColumn name="Column14711" id="14730"/>
    <tableColumn name="Column14712" id="14731"/>
    <tableColumn name="Column14713" id="14732"/>
    <tableColumn name="Column14714" id="14733"/>
    <tableColumn name="Column14715" id="14734"/>
    <tableColumn name="Column14716" id="14735"/>
    <tableColumn name="Column14717" id="14736"/>
    <tableColumn name="Column14718" id="14737"/>
    <tableColumn name="Column14719" id="14738"/>
    <tableColumn name="Column14720" id="14739"/>
    <tableColumn name="Column14721" id="14740"/>
    <tableColumn name="Column14722" id="14741"/>
    <tableColumn name="Column14723" id="14742"/>
    <tableColumn name="Column14724" id="14743"/>
    <tableColumn name="Column14725" id="14744"/>
    <tableColumn name="Column14726" id="14745"/>
    <tableColumn name="Column14727" id="14746"/>
    <tableColumn name="Column14728" id="14747"/>
    <tableColumn name="Column14729" id="14748"/>
    <tableColumn name="Column14730" id="14749"/>
    <tableColumn name="Column14731" id="14750"/>
    <tableColumn name="Column14732" id="14751"/>
    <tableColumn name="Column14733" id="14752"/>
    <tableColumn name="Column14734" id="14753"/>
    <tableColumn name="Column14735" id="14754"/>
    <tableColumn name="Column14736" id="14755"/>
    <tableColumn name="Column14737" id="14756"/>
    <tableColumn name="Column14738" id="14757"/>
    <tableColumn name="Column14739" id="14758"/>
    <tableColumn name="Column14740" id="14759"/>
    <tableColumn name="Column14741" id="14760"/>
    <tableColumn name="Column14742" id="14761"/>
    <tableColumn name="Column14743" id="14762"/>
    <tableColumn name="Column14744" id="14763"/>
    <tableColumn name="Column14745" id="14764"/>
    <tableColumn name="Column14746" id="14765"/>
    <tableColumn name="Column14747" id="14766"/>
    <tableColumn name="Column14748" id="14767"/>
    <tableColumn name="Column14749" id="14768"/>
    <tableColumn name="Column14750" id="14769"/>
    <tableColumn name="Column14751" id="14770"/>
    <tableColumn name="Column14752" id="14771"/>
    <tableColumn name="Column14753" id="14772"/>
    <tableColumn name="Column14754" id="14773"/>
    <tableColumn name="Column14755" id="14774"/>
    <tableColumn name="Column14756" id="14775"/>
    <tableColumn name="Column14757" id="14776"/>
    <tableColumn name="Column14758" id="14777"/>
    <tableColumn name="Column14759" id="14778"/>
    <tableColumn name="Column14760" id="14779"/>
    <tableColumn name="Column14761" id="14780"/>
    <tableColumn name="Column14762" id="14781"/>
    <tableColumn name="Column14763" id="14782"/>
    <tableColumn name="Column14764" id="14783"/>
    <tableColumn name="Column14765" id="14784"/>
    <tableColumn name="Column14766" id="14785"/>
    <tableColumn name="Column14767" id="14786"/>
    <tableColumn name="Column14768" id="14787"/>
    <tableColumn name="Column14769" id="14788"/>
    <tableColumn name="Column14770" id="14789"/>
    <tableColumn name="Column14771" id="14790"/>
    <tableColumn name="Column14772" id="14791"/>
    <tableColumn name="Column14773" id="14792"/>
    <tableColumn name="Column14774" id="14793"/>
    <tableColumn name="Column14775" id="14794"/>
    <tableColumn name="Column14776" id="14795"/>
    <tableColumn name="Column14777" id="14796"/>
    <tableColumn name="Column14778" id="14797"/>
    <tableColumn name="Column14779" id="14798"/>
    <tableColumn name="Column14780" id="14799"/>
    <tableColumn name="Column14781" id="14800"/>
    <tableColumn name="Column14782" id="14801"/>
    <tableColumn name="Column14783" id="14802"/>
    <tableColumn name="Column14784" id="14803"/>
    <tableColumn name="Column14785" id="14804"/>
    <tableColumn name="Column14786" id="14805"/>
    <tableColumn name="Column14787" id="14806"/>
    <tableColumn name="Column14788" id="14807"/>
    <tableColumn name="Column14789" id="14808"/>
    <tableColumn name="Column14790" id="14809"/>
    <tableColumn name="Column14791" id="14810"/>
    <tableColumn name="Column14792" id="14811"/>
    <tableColumn name="Column14793" id="14812"/>
    <tableColumn name="Column14794" id="14813"/>
    <tableColumn name="Column14795" id="14814"/>
    <tableColumn name="Column14796" id="14815"/>
    <tableColumn name="Column14797" id="14816"/>
    <tableColumn name="Column14798" id="14817"/>
    <tableColumn name="Column14799" id="14818"/>
    <tableColumn name="Column14800" id="14819"/>
    <tableColumn name="Column14801" id="14820"/>
    <tableColumn name="Column14802" id="14821"/>
    <tableColumn name="Column14803" id="14822"/>
    <tableColumn name="Column14804" id="14823"/>
    <tableColumn name="Column14805" id="14824"/>
    <tableColumn name="Column14806" id="14825"/>
    <tableColumn name="Column14807" id="14826"/>
    <tableColumn name="Column14808" id="14827"/>
    <tableColumn name="Column14809" id="14828"/>
    <tableColumn name="Column14810" id="14829"/>
    <tableColumn name="Column14811" id="14830"/>
    <tableColumn name="Column14812" id="14831"/>
    <tableColumn name="Column14813" id="14832"/>
    <tableColumn name="Column14814" id="14833"/>
    <tableColumn name="Column14815" id="14834"/>
    <tableColumn name="Column14816" id="14835"/>
    <tableColumn name="Column14817" id="14836"/>
    <tableColumn name="Column14818" id="14837"/>
    <tableColumn name="Column14819" id="14838"/>
    <tableColumn name="Column14820" id="14839"/>
    <tableColumn name="Column14821" id="14840"/>
    <tableColumn name="Column14822" id="14841"/>
    <tableColumn name="Column14823" id="14842"/>
    <tableColumn name="Column14824" id="14843"/>
    <tableColumn name="Column14825" id="14844"/>
    <tableColumn name="Column14826" id="14845"/>
    <tableColumn name="Column14827" id="14846"/>
    <tableColumn name="Column14828" id="14847"/>
    <tableColumn name="Column14829" id="14848"/>
    <tableColumn name="Column14830" id="14849"/>
    <tableColumn name="Column14831" id="14850"/>
    <tableColumn name="Column14832" id="14851"/>
    <tableColumn name="Column14833" id="14852"/>
    <tableColumn name="Column14834" id="14853"/>
    <tableColumn name="Column14835" id="14854"/>
    <tableColumn name="Column14836" id="14855"/>
    <tableColumn name="Column14837" id="14856"/>
    <tableColumn name="Column14838" id="14857"/>
    <tableColumn name="Column14839" id="14858"/>
    <tableColumn name="Column14840" id="14859"/>
    <tableColumn name="Column14841" id="14860"/>
    <tableColumn name="Column14842" id="14861"/>
    <tableColumn name="Column14843" id="14862"/>
    <tableColumn name="Column14844" id="14863"/>
    <tableColumn name="Column14845" id="14864"/>
    <tableColumn name="Column14846" id="14865"/>
    <tableColumn name="Column14847" id="14866"/>
    <tableColumn name="Column14848" id="14867"/>
    <tableColumn name="Column14849" id="14868"/>
    <tableColumn name="Column14850" id="14869"/>
    <tableColumn name="Column14851" id="14870"/>
    <tableColumn name="Column14852" id="14871"/>
    <tableColumn name="Column14853" id="14872"/>
    <tableColumn name="Column14854" id="14873"/>
    <tableColumn name="Column14855" id="14874"/>
    <tableColumn name="Column14856" id="14875"/>
    <tableColumn name="Column14857" id="14876"/>
    <tableColumn name="Column14858" id="14877"/>
    <tableColumn name="Column14859" id="14878"/>
    <tableColumn name="Column14860" id="14879"/>
    <tableColumn name="Column14861" id="14880"/>
    <tableColumn name="Column14862" id="14881"/>
    <tableColumn name="Column14863" id="14882"/>
    <tableColumn name="Column14864" id="14883"/>
    <tableColumn name="Column14865" id="14884"/>
    <tableColumn name="Column14866" id="14885"/>
    <tableColumn name="Column14867" id="14886"/>
    <tableColumn name="Column14868" id="14887"/>
    <tableColumn name="Column14869" id="14888"/>
    <tableColumn name="Column14870" id="14889"/>
    <tableColumn name="Column14871" id="14890"/>
    <tableColumn name="Column14872" id="14891"/>
    <tableColumn name="Column14873" id="14892"/>
    <tableColumn name="Column14874" id="14893"/>
    <tableColumn name="Column14875" id="14894"/>
    <tableColumn name="Column14876" id="14895"/>
    <tableColumn name="Column14877" id="14896"/>
    <tableColumn name="Column14878" id="14897"/>
    <tableColumn name="Column14879" id="14898"/>
    <tableColumn name="Column14880" id="14899"/>
    <tableColumn name="Column14881" id="14900"/>
    <tableColumn name="Column14882" id="14901"/>
    <tableColumn name="Column14883" id="14902"/>
    <tableColumn name="Column14884" id="14903"/>
    <tableColumn name="Column14885" id="14904"/>
    <tableColumn name="Column14886" id="14905"/>
    <tableColumn name="Column14887" id="14906"/>
    <tableColumn name="Column14888" id="14907"/>
    <tableColumn name="Column14889" id="14908"/>
    <tableColumn name="Column14890" id="14909"/>
    <tableColumn name="Column14891" id="14910"/>
    <tableColumn name="Column14892" id="14911"/>
    <tableColumn name="Column14893" id="14912"/>
    <tableColumn name="Column14894" id="14913"/>
    <tableColumn name="Column14895" id="14914"/>
    <tableColumn name="Column14896" id="14915"/>
    <tableColumn name="Column14897" id="14916"/>
    <tableColumn name="Column14898" id="14917"/>
    <tableColumn name="Column14899" id="14918"/>
    <tableColumn name="Column14900" id="14919"/>
    <tableColumn name="Column14901" id="14920"/>
    <tableColumn name="Column14902" id="14921"/>
    <tableColumn name="Column14903" id="14922"/>
    <tableColumn name="Column14904" id="14923"/>
    <tableColumn name="Column14905" id="14924"/>
    <tableColumn name="Column14906" id="14925"/>
    <tableColumn name="Column14907" id="14926"/>
    <tableColumn name="Column14908" id="14927"/>
    <tableColumn name="Column14909" id="14928"/>
    <tableColumn name="Column14910" id="14929"/>
    <tableColumn name="Column14911" id="14930"/>
    <tableColumn name="Column14912" id="14931"/>
    <tableColumn name="Column14913" id="14932"/>
    <tableColumn name="Column14914" id="14933"/>
    <tableColumn name="Column14915" id="14934"/>
    <tableColumn name="Column14916" id="14935"/>
    <tableColumn name="Column14917" id="14936"/>
    <tableColumn name="Column14918" id="14937"/>
    <tableColumn name="Column14919" id="14938"/>
    <tableColumn name="Column14920" id="14939"/>
    <tableColumn name="Column14921" id="14940"/>
    <tableColumn name="Column14922" id="14941"/>
    <tableColumn name="Column14923" id="14942"/>
    <tableColumn name="Column14924" id="14943"/>
    <tableColumn name="Column14925" id="14944"/>
    <tableColumn name="Column14926" id="14945"/>
    <tableColumn name="Column14927" id="14946"/>
    <tableColumn name="Column14928" id="14947"/>
    <tableColumn name="Column14929" id="14948"/>
    <tableColumn name="Column14930" id="14949"/>
    <tableColumn name="Column14931" id="14950"/>
    <tableColumn name="Column14932" id="14951"/>
    <tableColumn name="Column14933" id="14952"/>
    <tableColumn name="Column14934" id="14953"/>
    <tableColumn name="Column14935" id="14954"/>
    <tableColumn name="Column14936" id="14955"/>
    <tableColumn name="Column14937" id="14956"/>
    <tableColumn name="Column14938" id="14957"/>
    <tableColumn name="Column14939" id="14958"/>
    <tableColumn name="Column14940" id="14959"/>
    <tableColumn name="Column14941" id="14960"/>
    <tableColumn name="Column14942" id="14961"/>
    <tableColumn name="Column14943" id="14962"/>
    <tableColumn name="Column14944" id="14963"/>
    <tableColumn name="Column14945" id="14964"/>
    <tableColumn name="Column14946" id="14965"/>
    <tableColumn name="Column14947" id="14966"/>
    <tableColumn name="Column14948" id="14967"/>
    <tableColumn name="Column14949" id="14968"/>
    <tableColumn name="Column14950" id="14969"/>
    <tableColumn name="Column14951" id="14970"/>
    <tableColumn name="Column14952" id="14971"/>
    <tableColumn name="Column14953" id="14972"/>
    <tableColumn name="Column14954" id="14973"/>
    <tableColumn name="Column14955" id="14974"/>
    <tableColumn name="Column14956" id="14975"/>
    <tableColumn name="Column14957" id="14976"/>
    <tableColumn name="Column14958" id="14977"/>
    <tableColumn name="Column14959" id="14978"/>
    <tableColumn name="Column14960" id="14979"/>
    <tableColumn name="Column14961" id="14980"/>
    <tableColumn name="Column14962" id="14981"/>
    <tableColumn name="Column14963" id="14982"/>
    <tableColumn name="Column14964" id="14983"/>
    <tableColumn name="Column14965" id="14984"/>
    <tableColumn name="Column14966" id="14985"/>
    <tableColumn name="Column14967" id="14986"/>
    <tableColumn name="Column14968" id="14987"/>
    <tableColumn name="Column14969" id="14988"/>
    <tableColumn name="Column14970" id="14989"/>
    <tableColumn name="Column14971" id="14990"/>
    <tableColumn name="Column14972" id="14991"/>
    <tableColumn name="Column14973" id="14992"/>
    <tableColumn name="Column14974" id="14993"/>
    <tableColumn name="Column14975" id="14994"/>
    <tableColumn name="Column14976" id="14995"/>
    <tableColumn name="Column14977" id="14996"/>
    <tableColumn name="Column14978" id="14997"/>
    <tableColumn name="Column14979" id="14998"/>
    <tableColumn name="Column14980" id="14999"/>
    <tableColumn name="Column14981" id="15000"/>
    <tableColumn name="Column14982" id="15001"/>
    <tableColumn name="Column14983" id="15002"/>
    <tableColumn name="Column14984" id="15003"/>
    <tableColumn name="Column14985" id="15004"/>
    <tableColumn name="Column14986" id="15005"/>
    <tableColumn name="Column14987" id="15006"/>
    <tableColumn name="Column14988" id="15007"/>
    <tableColumn name="Column14989" id="15008"/>
    <tableColumn name="Column14990" id="15009"/>
    <tableColumn name="Column14991" id="15010"/>
    <tableColumn name="Column14992" id="15011"/>
    <tableColumn name="Column14993" id="15012"/>
    <tableColumn name="Column14994" id="15013"/>
    <tableColumn name="Column14995" id="15014"/>
    <tableColumn name="Column14996" id="15015"/>
    <tableColumn name="Column14997" id="15016"/>
    <tableColumn name="Column14998" id="15017"/>
    <tableColumn name="Column14999" id="15018"/>
    <tableColumn name="Column15000" id="15019"/>
    <tableColumn name="Column15001" id="15020"/>
    <tableColumn name="Column15002" id="15021"/>
    <tableColumn name="Column15003" id="15022"/>
    <tableColumn name="Column15004" id="15023"/>
    <tableColumn name="Column15005" id="15024"/>
    <tableColumn name="Column15006" id="15025"/>
    <tableColumn name="Column15007" id="15026"/>
    <tableColumn name="Column15008" id="15027"/>
    <tableColumn name="Column15009" id="15028"/>
    <tableColumn name="Column15010" id="15029"/>
    <tableColumn name="Column15011" id="15030"/>
    <tableColumn name="Column15012" id="15031"/>
    <tableColumn name="Column15013" id="15032"/>
    <tableColumn name="Column15014" id="15033"/>
    <tableColumn name="Column15015" id="15034"/>
    <tableColumn name="Column15016" id="15035"/>
    <tableColumn name="Column15017" id="15036"/>
    <tableColumn name="Column15018" id="15037"/>
    <tableColumn name="Column15019" id="15038"/>
    <tableColumn name="Column15020" id="15039"/>
    <tableColumn name="Column15021" id="15040"/>
    <tableColumn name="Column15022" id="15041"/>
    <tableColumn name="Column15023" id="15042"/>
    <tableColumn name="Column15024" id="15043"/>
    <tableColumn name="Column15025" id="15044"/>
    <tableColumn name="Column15026" id="15045"/>
    <tableColumn name="Column15027" id="15046"/>
    <tableColumn name="Column15028" id="15047"/>
    <tableColumn name="Column15029" id="15048"/>
    <tableColumn name="Column15030" id="15049"/>
    <tableColumn name="Column15031" id="15050"/>
    <tableColumn name="Column15032" id="15051"/>
    <tableColumn name="Column15033" id="15052"/>
    <tableColumn name="Column15034" id="15053"/>
    <tableColumn name="Column15035" id="15054"/>
    <tableColumn name="Column15036" id="15055"/>
    <tableColumn name="Column15037" id="15056"/>
    <tableColumn name="Column15038" id="15057"/>
    <tableColumn name="Column15039" id="15058"/>
    <tableColumn name="Column15040" id="15059"/>
    <tableColumn name="Column15041" id="15060"/>
    <tableColumn name="Column15042" id="15061"/>
    <tableColumn name="Column15043" id="15062"/>
    <tableColumn name="Column15044" id="15063"/>
    <tableColumn name="Column15045" id="15064"/>
    <tableColumn name="Column15046" id="15065"/>
    <tableColumn name="Column15047" id="15066"/>
    <tableColumn name="Column15048" id="15067"/>
    <tableColumn name="Column15049" id="15068"/>
    <tableColumn name="Column15050" id="15069"/>
    <tableColumn name="Column15051" id="15070"/>
    <tableColumn name="Column15052" id="15071"/>
    <tableColumn name="Column15053" id="15072"/>
    <tableColumn name="Column15054" id="15073"/>
    <tableColumn name="Column15055" id="15074"/>
    <tableColumn name="Column15056" id="15075"/>
    <tableColumn name="Column15057" id="15076"/>
    <tableColumn name="Column15058" id="15077"/>
    <tableColumn name="Column15059" id="15078"/>
    <tableColumn name="Column15060" id="15079"/>
    <tableColumn name="Column15061" id="15080"/>
    <tableColumn name="Column15062" id="15081"/>
    <tableColumn name="Column15063" id="15082"/>
    <tableColumn name="Column15064" id="15083"/>
    <tableColumn name="Column15065" id="15084"/>
    <tableColumn name="Column15066" id="15085"/>
    <tableColumn name="Column15067" id="15086"/>
    <tableColumn name="Column15068" id="15087"/>
    <tableColumn name="Column15069" id="15088"/>
    <tableColumn name="Column15070" id="15089"/>
    <tableColumn name="Column15071" id="15090"/>
    <tableColumn name="Column15072" id="15091"/>
    <tableColumn name="Column15073" id="15092"/>
    <tableColumn name="Column15074" id="15093"/>
    <tableColumn name="Column15075" id="15094"/>
    <tableColumn name="Column15076" id="15095"/>
    <tableColumn name="Column15077" id="15096"/>
    <tableColumn name="Column15078" id="15097"/>
    <tableColumn name="Column15079" id="15098"/>
    <tableColumn name="Column15080" id="15099"/>
    <tableColumn name="Column15081" id="15100"/>
    <tableColumn name="Column15082" id="15101"/>
    <tableColumn name="Column15083" id="15102"/>
    <tableColumn name="Column15084" id="15103"/>
    <tableColumn name="Column15085" id="15104"/>
    <tableColumn name="Column15086" id="15105"/>
    <tableColumn name="Column15087" id="15106"/>
    <tableColumn name="Column15088" id="15107"/>
    <tableColumn name="Column15089" id="15108"/>
    <tableColumn name="Column15090" id="15109"/>
    <tableColumn name="Column15091" id="15110"/>
    <tableColumn name="Column15092" id="15111"/>
    <tableColumn name="Column15093" id="15112"/>
    <tableColumn name="Column15094" id="15113"/>
    <tableColumn name="Column15095" id="15114"/>
    <tableColumn name="Column15096" id="15115"/>
    <tableColumn name="Column15097" id="15116"/>
    <tableColumn name="Column15098" id="15117"/>
    <tableColumn name="Column15099" id="15118"/>
    <tableColumn name="Column15100" id="15119"/>
    <tableColumn name="Column15101" id="15120"/>
    <tableColumn name="Column15102" id="15121"/>
    <tableColumn name="Column15103" id="15122"/>
    <tableColumn name="Column15104" id="15123"/>
    <tableColumn name="Column15105" id="15124"/>
    <tableColumn name="Column15106" id="15125"/>
    <tableColumn name="Column15107" id="15126"/>
    <tableColumn name="Column15108" id="15127"/>
    <tableColumn name="Column15109" id="15128"/>
    <tableColumn name="Column15110" id="15129"/>
    <tableColumn name="Column15111" id="15130"/>
    <tableColumn name="Column15112" id="15131"/>
    <tableColumn name="Column15113" id="15132"/>
    <tableColumn name="Column15114" id="15133"/>
    <tableColumn name="Column15115" id="15134"/>
    <tableColumn name="Column15116" id="15135"/>
    <tableColumn name="Column15117" id="15136"/>
    <tableColumn name="Column15118" id="15137"/>
    <tableColumn name="Column15119" id="15138"/>
    <tableColumn name="Column15120" id="15139"/>
    <tableColumn name="Column15121" id="15140"/>
    <tableColumn name="Column15122" id="15141"/>
    <tableColumn name="Column15123" id="15142"/>
    <tableColumn name="Column15124" id="15143"/>
    <tableColumn name="Column15125" id="15144"/>
    <tableColumn name="Column15126" id="15145"/>
    <tableColumn name="Column15127" id="15146"/>
    <tableColumn name="Column15128" id="15147"/>
    <tableColumn name="Column15129" id="15148"/>
    <tableColumn name="Column15130" id="15149"/>
    <tableColumn name="Column15131" id="15150"/>
    <tableColumn name="Column15132" id="15151"/>
    <tableColumn name="Column15133" id="15152"/>
    <tableColumn name="Column15134" id="15153"/>
    <tableColumn name="Column15135" id="15154"/>
    <tableColumn name="Column15136" id="15155"/>
    <tableColumn name="Column15137" id="15156"/>
    <tableColumn name="Column15138" id="15157"/>
    <tableColumn name="Column15139" id="15158"/>
    <tableColumn name="Column15140" id="15159"/>
    <tableColumn name="Column15141" id="15160"/>
    <tableColumn name="Column15142" id="15161"/>
    <tableColumn name="Column15143" id="15162"/>
    <tableColumn name="Column15144" id="15163"/>
    <tableColumn name="Column15145" id="15164"/>
    <tableColumn name="Column15146" id="15165"/>
    <tableColumn name="Column15147" id="15166"/>
    <tableColumn name="Column15148" id="15167"/>
    <tableColumn name="Column15149" id="15168"/>
    <tableColumn name="Column15150" id="15169"/>
    <tableColumn name="Column15151" id="15170"/>
    <tableColumn name="Column15152" id="15171"/>
    <tableColumn name="Column15153" id="15172"/>
    <tableColumn name="Column15154" id="15173"/>
    <tableColumn name="Column15155" id="15174"/>
    <tableColumn name="Column15156" id="15175"/>
    <tableColumn name="Column15157" id="15176"/>
    <tableColumn name="Column15158" id="15177"/>
    <tableColumn name="Column15159" id="15178"/>
    <tableColumn name="Column15160" id="15179"/>
    <tableColumn name="Column15161" id="15180"/>
    <tableColumn name="Column15162" id="15181"/>
    <tableColumn name="Column15163" id="15182"/>
    <tableColumn name="Column15164" id="15183"/>
    <tableColumn name="Column15165" id="15184"/>
    <tableColumn name="Column15166" id="15185"/>
    <tableColumn name="Column15167" id="15186"/>
    <tableColumn name="Column15168" id="15187"/>
    <tableColumn name="Column15169" id="15188"/>
    <tableColumn name="Column15170" id="15189"/>
    <tableColumn name="Column15171" id="15190"/>
    <tableColumn name="Column15172" id="15191"/>
    <tableColumn name="Column15173" id="15192"/>
    <tableColumn name="Column15174" id="15193"/>
    <tableColumn name="Column15175" id="15194"/>
    <tableColumn name="Column15176" id="15195"/>
    <tableColumn name="Column15177" id="15196"/>
    <tableColumn name="Column15178" id="15197"/>
    <tableColumn name="Column15179" id="15198"/>
    <tableColumn name="Column15180" id="15199"/>
    <tableColumn name="Column15181" id="15200"/>
    <tableColumn name="Column15182" id="15201"/>
    <tableColumn name="Column15183" id="15202"/>
    <tableColumn name="Column15184" id="15203"/>
    <tableColumn name="Column15185" id="15204"/>
    <tableColumn name="Column15186" id="15205"/>
    <tableColumn name="Column15187" id="15206"/>
    <tableColumn name="Column15188" id="15207"/>
    <tableColumn name="Column15189" id="15208"/>
    <tableColumn name="Column15190" id="15209"/>
    <tableColumn name="Column15191" id="15210"/>
    <tableColumn name="Column15192" id="15211"/>
    <tableColumn name="Column15193" id="15212"/>
    <tableColumn name="Column15194" id="15213"/>
    <tableColumn name="Column15195" id="15214"/>
    <tableColumn name="Column15196" id="15215"/>
    <tableColumn name="Column15197" id="15216"/>
    <tableColumn name="Column15198" id="15217"/>
    <tableColumn name="Column15199" id="15218"/>
    <tableColumn name="Column15200" id="15219"/>
    <tableColumn name="Column15201" id="15220"/>
    <tableColumn name="Column15202" id="15221"/>
    <tableColumn name="Column15203" id="15222"/>
    <tableColumn name="Column15204" id="15223"/>
    <tableColumn name="Column15205" id="15224"/>
    <tableColumn name="Column15206" id="15225"/>
    <tableColumn name="Column15207" id="15226"/>
    <tableColumn name="Column15208" id="15227"/>
    <tableColumn name="Column15209" id="15228"/>
    <tableColumn name="Column15210" id="15229"/>
    <tableColumn name="Column15211" id="15230"/>
    <tableColumn name="Column15212" id="15231"/>
    <tableColumn name="Column15213" id="15232"/>
    <tableColumn name="Column15214" id="15233"/>
    <tableColumn name="Column15215" id="15234"/>
    <tableColumn name="Column15216" id="15235"/>
    <tableColumn name="Column15217" id="15236"/>
    <tableColumn name="Column15218" id="15237"/>
    <tableColumn name="Column15219" id="15238"/>
    <tableColumn name="Column15220" id="15239"/>
    <tableColumn name="Column15221" id="15240"/>
    <tableColumn name="Column15222" id="15241"/>
    <tableColumn name="Column15223" id="15242"/>
    <tableColumn name="Column15224" id="15243"/>
    <tableColumn name="Column15225" id="15244"/>
    <tableColumn name="Column15226" id="15245"/>
    <tableColumn name="Column15227" id="15246"/>
    <tableColumn name="Column15228" id="15247"/>
    <tableColumn name="Column15229" id="15248"/>
    <tableColumn name="Column15230" id="15249"/>
    <tableColumn name="Column15231" id="15250"/>
    <tableColumn name="Column15232" id="15251"/>
    <tableColumn name="Column15233" id="15252"/>
    <tableColumn name="Column15234" id="15253"/>
    <tableColumn name="Column15235" id="15254"/>
    <tableColumn name="Column15236" id="15255"/>
    <tableColumn name="Column15237" id="15256"/>
    <tableColumn name="Column15238" id="15257"/>
    <tableColumn name="Column15239" id="15258"/>
    <tableColumn name="Column15240" id="15259"/>
    <tableColumn name="Column15241" id="15260"/>
    <tableColumn name="Column15242" id="15261"/>
    <tableColumn name="Column15243" id="15262"/>
    <tableColumn name="Column15244" id="15263"/>
    <tableColumn name="Column15245" id="15264"/>
    <tableColumn name="Column15246" id="15265"/>
    <tableColumn name="Column15247" id="15266"/>
    <tableColumn name="Column15248" id="15267"/>
    <tableColumn name="Column15249" id="15268"/>
    <tableColumn name="Column15250" id="15269"/>
    <tableColumn name="Column15251" id="15270"/>
    <tableColumn name="Column15252" id="15271"/>
    <tableColumn name="Column15253" id="15272"/>
    <tableColumn name="Column15254" id="15273"/>
    <tableColumn name="Column15255" id="15274"/>
    <tableColumn name="Column15256" id="15275"/>
    <tableColumn name="Column15257" id="15276"/>
    <tableColumn name="Column15258" id="15277"/>
    <tableColumn name="Column15259" id="15278"/>
    <tableColumn name="Column15260" id="15279"/>
    <tableColumn name="Column15261" id="15280"/>
    <tableColumn name="Column15262" id="15281"/>
    <tableColumn name="Column15263" id="15282"/>
    <tableColumn name="Column15264" id="15283"/>
    <tableColumn name="Column15265" id="15284"/>
    <tableColumn name="Column15266" id="15285"/>
    <tableColumn name="Column15267" id="15286"/>
    <tableColumn name="Column15268" id="15287"/>
    <tableColumn name="Column15269" id="15288"/>
    <tableColumn name="Column15270" id="15289"/>
    <tableColumn name="Column15271" id="15290"/>
    <tableColumn name="Column15272" id="15291"/>
    <tableColumn name="Column15273" id="15292"/>
    <tableColumn name="Column15274" id="15293"/>
    <tableColumn name="Column15275" id="15294"/>
    <tableColumn name="Column15276" id="15295"/>
    <tableColumn name="Column15277" id="15296"/>
    <tableColumn name="Column15278" id="15297"/>
    <tableColumn name="Column15279" id="15298"/>
    <tableColumn name="Column15280" id="15299"/>
    <tableColumn name="Column15281" id="15300"/>
    <tableColumn name="Column15282" id="15301"/>
    <tableColumn name="Column15283" id="15302"/>
    <tableColumn name="Column15284" id="15303"/>
    <tableColumn name="Column15285" id="15304"/>
    <tableColumn name="Column15286" id="15305"/>
    <tableColumn name="Column15287" id="15306"/>
    <tableColumn name="Column15288" id="15307"/>
    <tableColumn name="Column15289" id="15308"/>
    <tableColumn name="Column15290" id="15309"/>
    <tableColumn name="Column15291" id="15310"/>
    <tableColumn name="Column15292" id="15311"/>
    <tableColumn name="Column15293" id="15312"/>
    <tableColumn name="Column15294" id="15313"/>
    <tableColumn name="Column15295" id="15314"/>
    <tableColumn name="Column15296" id="15315"/>
    <tableColumn name="Column15297" id="15316"/>
    <tableColumn name="Column15298" id="15317"/>
    <tableColumn name="Column15299" id="15318"/>
    <tableColumn name="Column15300" id="15319"/>
    <tableColumn name="Column15301" id="15320"/>
    <tableColumn name="Column15302" id="15321"/>
    <tableColumn name="Column15303" id="15322"/>
    <tableColumn name="Column15304" id="15323"/>
    <tableColumn name="Column15305" id="15324"/>
    <tableColumn name="Column15306" id="15325"/>
    <tableColumn name="Column15307" id="15326"/>
    <tableColumn name="Column15308" id="15327"/>
    <tableColumn name="Column15309" id="15328"/>
    <tableColumn name="Column15310" id="15329"/>
    <tableColumn name="Column15311" id="15330"/>
    <tableColumn name="Column15312" id="15331"/>
    <tableColumn name="Column15313" id="15332"/>
    <tableColumn name="Column15314" id="15333"/>
    <tableColumn name="Column15315" id="15334"/>
    <tableColumn name="Column15316" id="15335"/>
    <tableColumn name="Column15317" id="15336"/>
    <tableColumn name="Column15318" id="15337"/>
    <tableColumn name="Column15319" id="15338"/>
    <tableColumn name="Column15320" id="15339"/>
    <tableColumn name="Column15321" id="15340"/>
    <tableColumn name="Column15322" id="15341"/>
    <tableColumn name="Column15323" id="15342"/>
    <tableColumn name="Column15324" id="15343"/>
    <tableColumn name="Column15325" id="15344"/>
    <tableColumn name="Column15326" id="15345"/>
    <tableColumn name="Column15327" id="15346"/>
    <tableColumn name="Column15328" id="15347"/>
    <tableColumn name="Column15329" id="15348"/>
    <tableColumn name="Column15330" id="15349"/>
    <tableColumn name="Column15331" id="15350"/>
    <tableColumn name="Column15332" id="15351"/>
    <tableColumn name="Column15333" id="15352"/>
    <tableColumn name="Column15334" id="15353"/>
    <tableColumn name="Column15335" id="15354"/>
    <tableColumn name="Column15336" id="15355"/>
    <tableColumn name="Column15337" id="15356"/>
    <tableColumn name="Column15338" id="15357"/>
    <tableColumn name="Column15339" id="15358"/>
    <tableColumn name="Column15340" id="15359"/>
    <tableColumn name="Column15341" id="15360"/>
    <tableColumn name="Column15342" id="15361"/>
    <tableColumn name="Column15343" id="15362"/>
    <tableColumn name="Column15344" id="15363"/>
    <tableColumn name="Column15345" id="15364"/>
    <tableColumn name="Column15346" id="15365"/>
    <tableColumn name="Column15347" id="15366"/>
    <tableColumn name="Column15348" id="15367"/>
    <tableColumn name="Column15349" id="15368"/>
    <tableColumn name="Column15350" id="15369"/>
    <tableColumn name="Column15351" id="15370"/>
    <tableColumn name="Column15352" id="15371"/>
    <tableColumn name="Column15353" id="15372"/>
    <tableColumn name="Column15354" id="15373"/>
    <tableColumn name="Column15355" id="15374"/>
    <tableColumn name="Column15356" id="15375"/>
    <tableColumn name="Column15357" id="15376"/>
    <tableColumn name="Column15358" id="15377"/>
    <tableColumn name="Column15359" id="15378"/>
    <tableColumn name="Column15360" id="15379"/>
    <tableColumn name="Column15361" id="15380"/>
    <tableColumn name="Column15362" id="15381"/>
    <tableColumn name="Column15363" id="15382"/>
    <tableColumn name="Column15364" id="15383"/>
    <tableColumn name="Column15365" id="15384"/>
    <tableColumn name="Column15366" id="15385"/>
    <tableColumn name="Column15367" id="15386"/>
    <tableColumn name="Column15368" id="15387"/>
    <tableColumn name="Column15369" id="15388"/>
    <tableColumn name="Column15370" id="15389"/>
    <tableColumn name="Column15371" id="15390"/>
    <tableColumn name="Column15372" id="15391"/>
    <tableColumn name="Column15373" id="15392"/>
    <tableColumn name="Column15374" id="15393"/>
    <tableColumn name="Column15375" id="15394"/>
    <tableColumn name="Column15376" id="15395"/>
    <tableColumn name="Column15377" id="15396"/>
    <tableColumn name="Column15378" id="15397"/>
    <tableColumn name="Column15379" id="15398"/>
    <tableColumn name="Column15380" id="15399"/>
    <tableColumn name="Column15381" id="15400"/>
    <tableColumn name="Column15382" id="15401"/>
    <tableColumn name="Column15383" id="15402"/>
    <tableColumn name="Column15384" id="15403"/>
    <tableColumn name="Column15385" id="15404"/>
    <tableColumn name="Column15386" id="15405"/>
    <tableColumn name="Column15387" id="15406"/>
    <tableColumn name="Column15388" id="15407"/>
    <tableColumn name="Column15389" id="15408"/>
    <tableColumn name="Column15390" id="15409"/>
    <tableColumn name="Column15391" id="15410"/>
    <tableColumn name="Column15392" id="15411"/>
    <tableColumn name="Column15393" id="15412"/>
    <tableColumn name="Column15394" id="15413"/>
    <tableColumn name="Column15395" id="15414"/>
    <tableColumn name="Column15396" id="15415"/>
    <tableColumn name="Column15397" id="15416"/>
    <tableColumn name="Column15398" id="15417"/>
    <tableColumn name="Column15399" id="15418"/>
    <tableColumn name="Column15400" id="15419"/>
    <tableColumn name="Column15401" id="15420"/>
    <tableColumn name="Column15402" id="15421"/>
    <tableColumn name="Column15403" id="15422"/>
    <tableColumn name="Column15404" id="15423"/>
    <tableColumn name="Column15405" id="15424"/>
    <tableColumn name="Column15406" id="15425"/>
    <tableColumn name="Column15407" id="15426"/>
    <tableColumn name="Column15408" id="15427"/>
    <tableColumn name="Column15409" id="15428"/>
    <tableColumn name="Column15410" id="15429"/>
    <tableColumn name="Column15411" id="15430"/>
    <tableColumn name="Column15412" id="15431"/>
    <tableColumn name="Column15413" id="15432"/>
    <tableColumn name="Column15414" id="15433"/>
    <tableColumn name="Column15415" id="15434"/>
    <tableColumn name="Column15416" id="15435"/>
    <tableColumn name="Column15417" id="15436"/>
    <tableColumn name="Column15418" id="15437"/>
    <tableColumn name="Column15419" id="15438"/>
    <tableColumn name="Column15420" id="15439"/>
    <tableColumn name="Column15421" id="15440"/>
    <tableColumn name="Column15422" id="15441"/>
    <tableColumn name="Column15423" id="15442"/>
    <tableColumn name="Column15424" id="15443"/>
    <tableColumn name="Column15425" id="15444"/>
    <tableColumn name="Column15426" id="15445"/>
    <tableColumn name="Column15427" id="15446"/>
    <tableColumn name="Column15428" id="15447"/>
    <tableColumn name="Column15429" id="15448"/>
    <tableColumn name="Column15430" id="15449"/>
    <tableColumn name="Column15431" id="15450"/>
    <tableColumn name="Column15432" id="15451"/>
    <tableColumn name="Column15433" id="15452"/>
    <tableColumn name="Column15434" id="15453"/>
    <tableColumn name="Column15435" id="15454"/>
    <tableColumn name="Column15436" id="15455"/>
    <tableColumn name="Column15437" id="15456"/>
    <tableColumn name="Column15438" id="15457"/>
    <tableColumn name="Column15439" id="15458"/>
    <tableColumn name="Column15440" id="15459"/>
    <tableColumn name="Column15441" id="15460"/>
    <tableColumn name="Column15442" id="15461"/>
    <tableColumn name="Column15443" id="15462"/>
    <tableColumn name="Column15444" id="15463"/>
    <tableColumn name="Column15445" id="15464"/>
    <tableColumn name="Column15446" id="15465"/>
    <tableColumn name="Column15447" id="15466"/>
    <tableColumn name="Column15448" id="15467"/>
    <tableColumn name="Column15449" id="15468"/>
    <tableColumn name="Column15450" id="15469"/>
    <tableColumn name="Column15451" id="15470"/>
    <tableColumn name="Column15452" id="15471"/>
    <tableColumn name="Column15453" id="15472"/>
    <tableColumn name="Column15454" id="15473"/>
    <tableColumn name="Column15455" id="15474"/>
    <tableColumn name="Column15456" id="15475"/>
    <tableColumn name="Column15457" id="15476"/>
    <tableColumn name="Column15458" id="15477"/>
    <tableColumn name="Column15459" id="15478"/>
    <tableColumn name="Column15460" id="15479"/>
    <tableColumn name="Column15461" id="15480"/>
    <tableColumn name="Column15462" id="15481"/>
    <tableColumn name="Column15463" id="15482"/>
    <tableColumn name="Column15464" id="15483"/>
    <tableColumn name="Column15465" id="15484"/>
    <tableColumn name="Column15466" id="15485"/>
    <tableColumn name="Column15467" id="15486"/>
    <tableColumn name="Column15468" id="15487"/>
    <tableColumn name="Column15469" id="15488"/>
    <tableColumn name="Column15470" id="15489"/>
    <tableColumn name="Column15471" id="15490"/>
    <tableColumn name="Column15472" id="15491"/>
    <tableColumn name="Column15473" id="15492"/>
    <tableColumn name="Column15474" id="15493"/>
    <tableColumn name="Column15475" id="15494"/>
    <tableColumn name="Column15476" id="15495"/>
    <tableColumn name="Column15477" id="15496"/>
    <tableColumn name="Column15478" id="15497"/>
    <tableColumn name="Column15479" id="15498"/>
    <tableColumn name="Column15480" id="15499"/>
    <tableColumn name="Column15481" id="15500"/>
    <tableColumn name="Column15482" id="15501"/>
    <tableColumn name="Column15483" id="15502"/>
    <tableColumn name="Column15484" id="15503"/>
    <tableColumn name="Column15485" id="15504"/>
    <tableColumn name="Column15486" id="15505"/>
    <tableColumn name="Column15487" id="15506"/>
    <tableColumn name="Column15488" id="15507"/>
    <tableColumn name="Column15489" id="15508"/>
    <tableColumn name="Column15490" id="15509"/>
    <tableColumn name="Column15491" id="15510"/>
    <tableColumn name="Column15492" id="15511"/>
    <tableColumn name="Column15493" id="15512"/>
    <tableColumn name="Column15494" id="15513"/>
    <tableColumn name="Column15495" id="15514"/>
    <tableColumn name="Column15496" id="15515"/>
    <tableColumn name="Column15497" id="15516"/>
    <tableColumn name="Column15498" id="15517"/>
    <tableColumn name="Column15499" id="15518"/>
    <tableColumn name="Column15500" id="15519"/>
    <tableColumn name="Column15501" id="15520"/>
    <tableColumn name="Column15502" id="15521"/>
    <tableColumn name="Column15503" id="15522"/>
    <tableColumn name="Column15504" id="15523"/>
    <tableColumn name="Column15505" id="15524"/>
    <tableColumn name="Column15506" id="15525"/>
    <tableColumn name="Column15507" id="15526"/>
    <tableColumn name="Column15508" id="15527"/>
    <tableColumn name="Column15509" id="15528"/>
    <tableColumn name="Column15510" id="15529"/>
    <tableColumn name="Column15511" id="15530"/>
    <tableColumn name="Column15512" id="15531"/>
    <tableColumn name="Column15513" id="15532"/>
    <tableColumn name="Column15514" id="15533"/>
    <tableColumn name="Column15515" id="15534"/>
    <tableColumn name="Column15516" id="15535"/>
    <tableColumn name="Column15517" id="15536"/>
    <tableColumn name="Column15518" id="15537"/>
    <tableColumn name="Column15519" id="15538"/>
    <tableColumn name="Column15520" id="15539"/>
    <tableColumn name="Column15521" id="15540"/>
    <tableColumn name="Column15522" id="15541"/>
    <tableColumn name="Column15523" id="15542"/>
    <tableColumn name="Column15524" id="15543"/>
    <tableColumn name="Column15525" id="15544"/>
    <tableColumn name="Column15526" id="15545"/>
    <tableColumn name="Column15527" id="15546"/>
    <tableColumn name="Column15528" id="15547"/>
    <tableColumn name="Column15529" id="15548"/>
    <tableColumn name="Column15530" id="15549"/>
    <tableColumn name="Column15531" id="15550"/>
    <tableColumn name="Column15532" id="15551"/>
    <tableColumn name="Column15533" id="15552"/>
    <tableColumn name="Column15534" id="15553"/>
    <tableColumn name="Column15535" id="15554"/>
    <tableColumn name="Column15536" id="15555"/>
    <tableColumn name="Column15537" id="15556"/>
    <tableColumn name="Column15538" id="15557"/>
    <tableColumn name="Column15539" id="15558"/>
    <tableColumn name="Column15540" id="15559"/>
    <tableColumn name="Column15541" id="15560"/>
    <tableColumn name="Column15542" id="15561"/>
    <tableColumn name="Column15543" id="15562"/>
    <tableColumn name="Column15544" id="15563"/>
    <tableColumn name="Column15545" id="15564"/>
    <tableColumn name="Column15546" id="15565"/>
    <tableColumn name="Column15547" id="15566"/>
    <tableColumn name="Column15548" id="15567"/>
    <tableColumn name="Column15549" id="15568"/>
    <tableColumn name="Column15550" id="15569"/>
    <tableColumn name="Column15551" id="15570"/>
    <tableColumn name="Column15552" id="15571"/>
    <tableColumn name="Column15553" id="15572"/>
    <tableColumn name="Column15554" id="15573"/>
    <tableColumn name="Column15555" id="15574"/>
    <tableColumn name="Column15556" id="15575"/>
    <tableColumn name="Column15557" id="15576"/>
    <tableColumn name="Column15558" id="15577"/>
    <tableColumn name="Column15559" id="15578"/>
    <tableColumn name="Column15560" id="15579"/>
    <tableColumn name="Column15561" id="15580"/>
    <tableColumn name="Column15562" id="15581"/>
    <tableColumn name="Column15563" id="15582"/>
    <tableColumn name="Column15564" id="15583"/>
    <tableColumn name="Column15565" id="15584"/>
    <tableColumn name="Column15566" id="15585"/>
    <tableColumn name="Column15567" id="15586"/>
    <tableColumn name="Column15568" id="15587"/>
    <tableColumn name="Column15569" id="15588"/>
    <tableColumn name="Column15570" id="15589"/>
    <tableColumn name="Column15571" id="15590"/>
    <tableColumn name="Column15572" id="15591"/>
    <tableColumn name="Column15573" id="15592"/>
    <tableColumn name="Column15574" id="15593"/>
    <tableColumn name="Column15575" id="15594"/>
    <tableColumn name="Column15576" id="15595"/>
    <tableColumn name="Column15577" id="15596"/>
    <tableColumn name="Column15578" id="15597"/>
    <tableColumn name="Column15579" id="15598"/>
    <tableColumn name="Column15580" id="15599"/>
    <tableColumn name="Column15581" id="15600"/>
    <tableColumn name="Column15582" id="15601"/>
    <tableColumn name="Column15583" id="15602"/>
    <tableColumn name="Column15584" id="15603"/>
    <tableColumn name="Column15585" id="15604"/>
    <tableColumn name="Column15586" id="15605"/>
    <tableColumn name="Column15587" id="15606"/>
    <tableColumn name="Column15588" id="15607"/>
    <tableColumn name="Column15589" id="15608"/>
    <tableColumn name="Column15590" id="15609"/>
    <tableColumn name="Column15591" id="15610"/>
    <tableColumn name="Column15592" id="15611"/>
    <tableColumn name="Column15593" id="15612"/>
    <tableColumn name="Column15594" id="15613"/>
    <tableColumn name="Column15595" id="15614"/>
    <tableColumn name="Column15596" id="15615"/>
    <tableColumn name="Column15597" id="15616"/>
    <tableColumn name="Column15598" id="15617"/>
    <tableColumn name="Column15599" id="15618"/>
    <tableColumn name="Column15600" id="15619"/>
    <tableColumn name="Column15601" id="15620"/>
    <tableColumn name="Column15602" id="15621"/>
    <tableColumn name="Column15603" id="15622"/>
    <tableColumn name="Column15604" id="15623"/>
    <tableColumn name="Column15605" id="15624"/>
    <tableColumn name="Column15606" id="15625"/>
    <tableColumn name="Column15607" id="15626"/>
    <tableColumn name="Column15608" id="15627"/>
    <tableColumn name="Column15609" id="15628"/>
    <tableColumn name="Column15610" id="15629"/>
    <tableColumn name="Column15611" id="15630"/>
    <tableColumn name="Column15612" id="15631"/>
    <tableColumn name="Column15613" id="15632"/>
    <tableColumn name="Column15614" id="15633"/>
    <tableColumn name="Column15615" id="15634"/>
    <tableColumn name="Column15616" id="15635"/>
    <tableColumn name="Column15617" id="15636"/>
    <tableColumn name="Column15618" id="15637"/>
    <tableColumn name="Column15619" id="15638"/>
    <tableColumn name="Column15620" id="15639"/>
    <tableColumn name="Column15621" id="15640"/>
    <tableColumn name="Column15622" id="15641"/>
    <tableColumn name="Column15623" id="15642"/>
    <tableColumn name="Column15624" id="15643"/>
    <tableColumn name="Column15625" id="15644"/>
    <tableColumn name="Column15626" id="15645"/>
    <tableColumn name="Column15627" id="15646"/>
    <tableColumn name="Column15628" id="15647"/>
    <tableColumn name="Column15629" id="15648"/>
    <tableColumn name="Column15630" id="15649"/>
    <tableColumn name="Column15631" id="15650"/>
    <tableColumn name="Column15632" id="15651"/>
    <tableColumn name="Column15633" id="15652"/>
    <tableColumn name="Column15634" id="15653"/>
    <tableColumn name="Column15635" id="15654"/>
    <tableColumn name="Column15636" id="15655"/>
    <tableColumn name="Column15637" id="15656"/>
    <tableColumn name="Column15638" id="15657"/>
    <tableColumn name="Column15639" id="15658"/>
    <tableColumn name="Column15640" id="15659"/>
    <tableColumn name="Column15641" id="15660"/>
    <tableColumn name="Column15642" id="15661"/>
    <tableColumn name="Column15643" id="15662"/>
    <tableColumn name="Column15644" id="15663"/>
    <tableColumn name="Column15645" id="15664"/>
    <tableColumn name="Column15646" id="15665"/>
    <tableColumn name="Column15647" id="15666"/>
    <tableColumn name="Column15648" id="15667"/>
    <tableColumn name="Column15649" id="15668"/>
    <tableColumn name="Column15650" id="15669"/>
    <tableColumn name="Column15651" id="15670"/>
    <tableColumn name="Column15652" id="15671"/>
    <tableColumn name="Column15653" id="15672"/>
    <tableColumn name="Column15654" id="15673"/>
    <tableColumn name="Column15655" id="15674"/>
    <tableColumn name="Column15656" id="15675"/>
    <tableColumn name="Column15657" id="15676"/>
    <tableColumn name="Column15658" id="15677"/>
    <tableColumn name="Column15659" id="15678"/>
    <tableColumn name="Column15660" id="15679"/>
    <tableColumn name="Column15661" id="15680"/>
    <tableColumn name="Column15662" id="15681"/>
    <tableColumn name="Column15663" id="15682"/>
    <tableColumn name="Column15664" id="15683"/>
    <tableColumn name="Column15665" id="15684"/>
    <tableColumn name="Column15666" id="15685"/>
    <tableColumn name="Column15667" id="15686"/>
    <tableColumn name="Column15668" id="15687"/>
    <tableColumn name="Column15669" id="15688"/>
    <tableColumn name="Column15670" id="15689"/>
    <tableColumn name="Column15671" id="15690"/>
    <tableColumn name="Column15672" id="15691"/>
    <tableColumn name="Column15673" id="15692"/>
    <tableColumn name="Column15674" id="15693"/>
    <tableColumn name="Column15675" id="15694"/>
    <tableColumn name="Column15676" id="15695"/>
    <tableColumn name="Column15677" id="15696"/>
    <tableColumn name="Column15678" id="15697"/>
    <tableColumn name="Column15679" id="15698"/>
    <tableColumn name="Column15680" id="15699"/>
    <tableColumn name="Column15681" id="15700"/>
    <tableColumn name="Column15682" id="15701"/>
    <tableColumn name="Column15683" id="15702"/>
    <tableColumn name="Column15684" id="15703"/>
    <tableColumn name="Column15685" id="15704"/>
    <tableColumn name="Column15686" id="15705"/>
    <tableColumn name="Column15687" id="15706"/>
    <tableColumn name="Column15688" id="15707"/>
    <tableColumn name="Column15689" id="15708"/>
    <tableColumn name="Column15690" id="15709"/>
    <tableColumn name="Column15691" id="15710"/>
    <tableColumn name="Column15692" id="15711"/>
    <tableColumn name="Column15693" id="15712"/>
    <tableColumn name="Column15694" id="15713"/>
    <tableColumn name="Column15695" id="15714"/>
    <tableColumn name="Column15696" id="15715"/>
    <tableColumn name="Column15697" id="15716"/>
    <tableColumn name="Column15698" id="15717"/>
    <tableColumn name="Column15699" id="15718"/>
    <tableColumn name="Column15700" id="15719"/>
    <tableColumn name="Column15701" id="15720"/>
    <tableColumn name="Column15702" id="15721"/>
    <tableColumn name="Column15703" id="15722"/>
    <tableColumn name="Column15704" id="15723"/>
    <tableColumn name="Column15705" id="15724"/>
    <tableColumn name="Column15706" id="15725"/>
    <tableColumn name="Column15707" id="15726"/>
    <tableColumn name="Column15708" id="15727"/>
    <tableColumn name="Column15709" id="15728"/>
    <tableColumn name="Column15710" id="15729"/>
    <tableColumn name="Column15711" id="15730"/>
    <tableColumn name="Column15712" id="15731"/>
    <tableColumn name="Column15713" id="15732"/>
    <tableColumn name="Column15714" id="15733"/>
    <tableColumn name="Column15715" id="15734"/>
    <tableColumn name="Column15716" id="15735"/>
    <tableColumn name="Column15717" id="15736"/>
    <tableColumn name="Column15718" id="15737"/>
    <tableColumn name="Column15719" id="15738"/>
    <tableColumn name="Column15720" id="15739"/>
    <tableColumn name="Column15721" id="15740"/>
    <tableColumn name="Column15722" id="15741"/>
    <tableColumn name="Column15723" id="15742"/>
    <tableColumn name="Column15724" id="15743"/>
    <tableColumn name="Column15725" id="15744"/>
    <tableColumn name="Column15726" id="15745"/>
    <tableColumn name="Column15727" id="15746"/>
    <tableColumn name="Column15728" id="15747"/>
    <tableColumn name="Column15729" id="15748"/>
    <tableColumn name="Column15730" id="15749"/>
    <tableColumn name="Column15731" id="15750"/>
    <tableColumn name="Column15732" id="15751"/>
    <tableColumn name="Column15733" id="15752"/>
    <tableColumn name="Column15734" id="15753"/>
    <tableColumn name="Column15735" id="15754"/>
    <tableColumn name="Column15736" id="15755"/>
    <tableColumn name="Column15737" id="15756"/>
    <tableColumn name="Column15738" id="15757"/>
    <tableColumn name="Column15739" id="15758"/>
    <tableColumn name="Column15740" id="15759"/>
    <tableColumn name="Column15741" id="15760"/>
    <tableColumn name="Column15742" id="15761"/>
    <tableColumn name="Column15743" id="15762"/>
    <tableColumn name="Column15744" id="15763"/>
    <tableColumn name="Column15745" id="15764"/>
    <tableColumn name="Column15746" id="15765"/>
    <tableColumn name="Column15747" id="15766"/>
    <tableColumn name="Column15748" id="15767"/>
    <tableColumn name="Column15749" id="15768"/>
    <tableColumn name="Column15750" id="15769"/>
    <tableColumn name="Column15751" id="15770"/>
    <tableColumn name="Column15752" id="15771"/>
    <tableColumn name="Column15753" id="15772"/>
    <tableColumn name="Column15754" id="15773"/>
    <tableColumn name="Column15755" id="15774"/>
    <tableColumn name="Column15756" id="15775"/>
    <tableColumn name="Column15757" id="15776"/>
    <tableColumn name="Column15758" id="15777"/>
    <tableColumn name="Column15759" id="15778"/>
    <tableColumn name="Column15760" id="15779"/>
    <tableColumn name="Column15761" id="15780"/>
    <tableColumn name="Column15762" id="15781"/>
    <tableColumn name="Column15763" id="15782"/>
    <tableColumn name="Column15764" id="15783"/>
    <tableColumn name="Column15765" id="15784"/>
    <tableColumn name="Column15766" id="15785"/>
    <tableColumn name="Column15767" id="15786"/>
    <tableColumn name="Column15768" id="15787"/>
    <tableColumn name="Column15769" id="15788"/>
    <tableColumn name="Column15770" id="15789"/>
    <tableColumn name="Column15771" id="15790"/>
    <tableColumn name="Column15772" id="15791"/>
    <tableColumn name="Column15773" id="15792"/>
    <tableColumn name="Column15774" id="15793"/>
    <tableColumn name="Column15775" id="15794"/>
    <tableColumn name="Column15776" id="15795"/>
    <tableColumn name="Column15777" id="15796"/>
    <tableColumn name="Column15778" id="15797"/>
    <tableColumn name="Column15779" id="15798"/>
    <tableColumn name="Column15780" id="15799"/>
    <tableColumn name="Column15781" id="15800"/>
    <tableColumn name="Column15782" id="15801"/>
    <tableColumn name="Column15783" id="15802"/>
    <tableColumn name="Column15784" id="15803"/>
    <tableColumn name="Column15785" id="15804"/>
    <tableColumn name="Column15786" id="15805"/>
    <tableColumn name="Column15787" id="15806"/>
    <tableColumn name="Column15788" id="15807"/>
    <tableColumn name="Column15789" id="15808"/>
    <tableColumn name="Column15790" id="15809"/>
    <tableColumn name="Column15791" id="15810"/>
    <tableColumn name="Column15792" id="15811"/>
    <tableColumn name="Column15793" id="15812"/>
    <tableColumn name="Column15794" id="15813"/>
    <tableColumn name="Column15795" id="15814"/>
    <tableColumn name="Column15796" id="15815"/>
    <tableColumn name="Column15797" id="15816"/>
    <tableColumn name="Column15798" id="15817"/>
    <tableColumn name="Column15799" id="15818"/>
    <tableColumn name="Column15800" id="15819"/>
    <tableColumn name="Column15801" id="15820"/>
    <tableColumn name="Column15802" id="15821"/>
    <tableColumn name="Column15803" id="15822"/>
    <tableColumn name="Column15804" id="15823"/>
    <tableColumn name="Column15805" id="15824"/>
    <tableColumn name="Column15806" id="15825"/>
    <tableColumn name="Column15807" id="15826"/>
    <tableColumn name="Column15808" id="15827"/>
    <tableColumn name="Column15809" id="15828"/>
    <tableColumn name="Column15810" id="15829"/>
    <tableColumn name="Column15811" id="15830"/>
    <tableColumn name="Column15812" id="15831"/>
    <tableColumn name="Column15813" id="15832"/>
    <tableColumn name="Column15814" id="15833"/>
    <tableColumn name="Column15815" id="15834"/>
    <tableColumn name="Column15816" id="15835"/>
    <tableColumn name="Column15817" id="15836"/>
    <tableColumn name="Column15818" id="15837"/>
    <tableColumn name="Column15819" id="15838"/>
    <tableColumn name="Column15820" id="15839"/>
    <tableColumn name="Column15821" id="15840"/>
    <tableColumn name="Column15822" id="15841"/>
    <tableColumn name="Column15823" id="15842"/>
    <tableColumn name="Column15824" id="15843"/>
    <tableColumn name="Column15825" id="15844"/>
    <tableColumn name="Column15826" id="15845"/>
    <tableColumn name="Column15827" id="15846"/>
    <tableColumn name="Column15828" id="15847"/>
    <tableColumn name="Column15829" id="15848"/>
    <tableColumn name="Column15830" id="15849"/>
    <tableColumn name="Column15831" id="15850"/>
    <tableColumn name="Column15832" id="15851"/>
    <tableColumn name="Column15833" id="15852"/>
    <tableColumn name="Column15834" id="15853"/>
    <tableColumn name="Column15835" id="15854"/>
    <tableColumn name="Column15836" id="15855"/>
    <tableColumn name="Column15837" id="15856"/>
    <tableColumn name="Column15838" id="15857"/>
    <tableColumn name="Column15839" id="15858"/>
    <tableColumn name="Column15840" id="15859"/>
    <tableColumn name="Column15841" id="15860"/>
    <tableColumn name="Column15842" id="15861"/>
    <tableColumn name="Column15843" id="15862"/>
    <tableColumn name="Column15844" id="15863"/>
    <tableColumn name="Column15845" id="15864"/>
    <tableColumn name="Column15846" id="15865"/>
    <tableColumn name="Column15847" id="15866"/>
    <tableColumn name="Column15848" id="15867"/>
    <tableColumn name="Column15849" id="15868"/>
    <tableColumn name="Column15850" id="15869"/>
    <tableColumn name="Column15851" id="15870"/>
    <tableColumn name="Column15852" id="15871"/>
    <tableColumn name="Column15853" id="15872"/>
    <tableColumn name="Column15854" id="15873"/>
    <tableColumn name="Column15855" id="15874"/>
    <tableColumn name="Column15856" id="15875"/>
    <tableColumn name="Column15857" id="15876"/>
    <tableColumn name="Column15858" id="15877"/>
    <tableColumn name="Column15859" id="15878"/>
    <tableColumn name="Column15860" id="15879"/>
    <tableColumn name="Column15861" id="15880"/>
    <tableColumn name="Column15862" id="15881"/>
    <tableColumn name="Column15863" id="15882"/>
    <tableColumn name="Column15864" id="15883"/>
    <tableColumn name="Column15865" id="15884"/>
    <tableColumn name="Column15866" id="15885"/>
    <tableColumn name="Column15867" id="15886"/>
    <tableColumn name="Column15868" id="15887"/>
    <tableColumn name="Column15869" id="15888"/>
    <tableColumn name="Column15870" id="15889"/>
    <tableColumn name="Column15871" id="15890"/>
    <tableColumn name="Column15872" id="15891"/>
    <tableColumn name="Column15873" id="15892"/>
    <tableColumn name="Column15874" id="15893"/>
    <tableColumn name="Column15875" id="15894"/>
    <tableColumn name="Column15876" id="15895"/>
    <tableColumn name="Column15877" id="15896"/>
    <tableColumn name="Column15878" id="15897"/>
    <tableColumn name="Column15879" id="15898"/>
    <tableColumn name="Column15880" id="15899"/>
    <tableColumn name="Column15881" id="15900"/>
    <tableColumn name="Column15882" id="15901"/>
    <tableColumn name="Column15883" id="15902"/>
    <tableColumn name="Column15884" id="15903"/>
    <tableColumn name="Column15885" id="15904"/>
    <tableColumn name="Column15886" id="15905"/>
    <tableColumn name="Column15887" id="15906"/>
    <tableColumn name="Column15888" id="15907"/>
    <tableColumn name="Column15889" id="15908"/>
    <tableColumn name="Column15890" id="15909"/>
    <tableColumn name="Column15891" id="15910"/>
    <tableColumn name="Column15892" id="15911"/>
    <tableColumn name="Column15893" id="15912"/>
    <tableColumn name="Column15894" id="15913"/>
    <tableColumn name="Column15895" id="15914"/>
    <tableColumn name="Column15896" id="15915"/>
    <tableColumn name="Column15897" id="15916"/>
    <tableColumn name="Column15898" id="15917"/>
    <tableColumn name="Column15899" id="15918"/>
    <tableColumn name="Column15900" id="15919"/>
    <tableColumn name="Column15901" id="15920"/>
    <tableColumn name="Column15902" id="15921"/>
    <tableColumn name="Column15903" id="15922"/>
    <tableColumn name="Column15904" id="15923"/>
    <tableColumn name="Column15905" id="15924"/>
    <tableColumn name="Column15906" id="15925"/>
    <tableColumn name="Column15907" id="15926"/>
    <tableColumn name="Column15908" id="15927"/>
    <tableColumn name="Column15909" id="15928"/>
    <tableColumn name="Column15910" id="15929"/>
    <tableColumn name="Column15911" id="15930"/>
    <tableColumn name="Column15912" id="15931"/>
    <tableColumn name="Column15913" id="15932"/>
    <tableColumn name="Column15914" id="15933"/>
    <tableColumn name="Column15915" id="15934"/>
    <tableColumn name="Column15916" id="15935"/>
    <tableColumn name="Column15917" id="15936"/>
    <tableColumn name="Column15918" id="15937"/>
    <tableColumn name="Column15919" id="15938"/>
    <tableColumn name="Column15920" id="15939"/>
    <tableColumn name="Column15921" id="15940"/>
    <tableColumn name="Column15922" id="15941"/>
    <tableColumn name="Column15923" id="15942"/>
    <tableColumn name="Column15924" id="15943"/>
    <tableColumn name="Column15925" id="15944"/>
    <tableColumn name="Column15926" id="15945"/>
    <tableColumn name="Column15927" id="15946"/>
    <tableColumn name="Column15928" id="15947"/>
    <tableColumn name="Column15929" id="15948"/>
    <tableColumn name="Column15930" id="15949"/>
    <tableColumn name="Column15931" id="15950"/>
    <tableColumn name="Column15932" id="15951"/>
    <tableColumn name="Column15933" id="15952"/>
    <tableColumn name="Column15934" id="15953"/>
    <tableColumn name="Column15935" id="15954"/>
    <tableColumn name="Column15936" id="15955"/>
    <tableColumn name="Column15937" id="15956"/>
    <tableColumn name="Column15938" id="15957"/>
    <tableColumn name="Column15939" id="15958"/>
    <tableColumn name="Column15940" id="15959"/>
    <tableColumn name="Column15941" id="15960"/>
    <tableColumn name="Column15942" id="15961"/>
    <tableColumn name="Column15943" id="15962"/>
    <tableColumn name="Column15944" id="15963"/>
    <tableColumn name="Column15945" id="15964"/>
    <tableColumn name="Column15946" id="15965"/>
    <tableColumn name="Column15947" id="15966"/>
    <tableColumn name="Column15948" id="15967"/>
    <tableColumn name="Column15949" id="15968"/>
    <tableColumn name="Column15950" id="15969"/>
    <tableColumn name="Column15951" id="15970"/>
    <tableColumn name="Column15952" id="15971"/>
    <tableColumn name="Column15953" id="15972"/>
    <tableColumn name="Column15954" id="15973"/>
    <tableColumn name="Column15955" id="15974"/>
    <tableColumn name="Column15956" id="15975"/>
    <tableColumn name="Column15957" id="15976"/>
    <tableColumn name="Column15958" id="15977"/>
    <tableColumn name="Column15959" id="15978"/>
    <tableColumn name="Column15960" id="15979"/>
    <tableColumn name="Column15961" id="15980"/>
    <tableColumn name="Column15962" id="15981"/>
    <tableColumn name="Column15963" id="15982"/>
    <tableColumn name="Column15964" id="15983"/>
    <tableColumn name="Column15965" id="15984"/>
    <tableColumn name="Column15966" id="15985"/>
    <tableColumn name="Column15967" id="15986"/>
    <tableColumn name="Column15968" id="15987"/>
    <tableColumn name="Column15969" id="15988"/>
    <tableColumn name="Column15970" id="15989"/>
    <tableColumn name="Column15971" id="15990"/>
    <tableColumn name="Column15972" id="15991"/>
    <tableColumn name="Column15973" id="15992"/>
    <tableColumn name="Column15974" id="15993"/>
    <tableColumn name="Column15975" id="15994"/>
    <tableColumn name="Column15976" id="15995"/>
    <tableColumn name="Column15977" id="15996"/>
    <tableColumn name="Column15978" id="15997"/>
    <tableColumn name="Column15979" id="15998"/>
    <tableColumn name="Column15980" id="15999"/>
    <tableColumn name="Column15981" id="16000"/>
    <tableColumn name="Column15982" id="16001"/>
    <tableColumn name="Column15983" id="16002"/>
    <tableColumn name="Column15984" id="16003"/>
    <tableColumn name="Column15985" id="16004"/>
    <tableColumn name="Column15986" id="16005"/>
    <tableColumn name="Column15987" id="16006"/>
    <tableColumn name="Column15988" id="16007"/>
    <tableColumn name="Column15989" id="16008"/>
    <tableColumn name="Column15990" id="16009"/>
    <tableColumn name="Column15991" id="16010"/>
    <tableColumn name="Column15992" id="16011"/>
    <tableColumn name="Column15993" id="16012"/>
    <tableColumn name="Column15994" id="16013"/>
    <tableColumn name="Column15995" id="16014"/>
    <tableColumn name="Column15996" id="16015"/>
    <tableColumn name="Column15997" id="16016"/>
    <tableColumn name="Column15998" id="16017"/>
    <tableColumn name="Column15999" id="16018"/>
    <tableColumn name="Column16000" id="16019"/>
    <tableColumn name="Column16001" id="16020"/>
    <tableColumn name="Column16002" id="16021"/>
    <tableColumn name="Column16003" id="16022"/>
    <tableColumn name="Column16004" id="16023"/>
    <tableColumn name="Column16005" id="16024"/>
    <tableColumn name="Column16006" id="16025"/>
    <tableColumn name="Column16007" id="16026"/>
    <tableColumn name="Column16008" id="16027"/>
    <tableColumn name="Column16009" id="16028"/>
    <tableColumn name="Column16010" id="16029"/>
    <tableColumn name="Column16011" id="16030"/>
    <tableColumn name="Column16012" id="16031"/>
    <tableColumn name="Column16013" id="16032"/>
    <tableColumn name="Column16014" id="16033"/>
    <tableColumn name="Column16015" id="16034"/>
    <tableColumn name="Column16016" id="16035"/>
    <tableColumn name="Column16017" id="16036"/>
    <tableColumn name="Column16018" id="16037"/>
    <tableColumn name="Column16019" id="16038"/>
    <tableColumn name="Column16020" id="16039"/>
    <tableColumn name="Column16021" id="16040"/>
    <tableColumn name="Column16022" id="16041"/>
    <tableColumn name="Column16023" id="16042"/>
    <tableColumn name="Column16024" id="16043"/>
    <tableColumn name="Column16025" id="16044"/>
    <tableColumn name="Column16026" id="16045"/>
    <tableColumn name="Column16027" id="16046"/>
    <tableColumn name="Column16028" id="16047"/>
    <tableColumn name="Column16029" id="16048"/>
    <tableColumn name="Column16030" id="16049"/>
    <tableColumn name="Column16031" id="16050"/>
    <tableColumn name="Column16032" id="16051"/>
    <tableColumn name="Column16033" id="16052"/>
    <tableColumn name="Column16034" id="16053"/>
    <tableColumn name="Column16035" id="16054"/>
    <tableColumn name="Column16036" id="16055"/>
    <tableColumn name="Column16037" id="16056"/>
    <tableColumn name="Column16038" id="16057"/>
    <tableColumn name="Column16039" id="16058"/>
    <tableColumn name="Column16040" id="16059"/>
    <tableColumn name="Column16041" id="16060"/>
    <tableColumn name="Column16042" id="16061"/>
    <tableColumn name="Column16043" id="16062"/>
    <tableColumn name="Column16044" id="16063"/>
    <tableColumn name="Column16045" id="16064"/>
    <tableColumn name="Column16046" id="16065"/>
    <tableColumn name="Column16047" id="16066"/>
    <tableColumn name="Column16048" id="16067"/>
    <tableColumn name="Column16049" id="16068"/>
    <tableColumn name="Column16050" id="16069"/>
    <tableColumn name="Column16051" id="16070"/>
    <tableColumn name="Column16052" id="16071"/>
    <tableColumn name="Column16053" id="16072"/>
    <tableColumn name="Column16054" id="16073"/>
    <tableColumn name="Column16055" id="16074"/>
    <tableColumn name="Column16056" id="16075"/>
    <tableColumn name="Column16057" id="16076"/>
    <tableColumn name="Column16058" id="16077"/>
    <tableColumn name="Column16059" id="16078"/>
    <tableColumn name="Column16060" id="16079"/>
    <tableColumn name="Column16061" id="16080"/>
    <tableColumn name="Column16062" id="16081"/>
    <tableColumn name="Column16063" id="16082"/>
    <tableColumn name="Column16064" id="16083"/>
    <tableColumn name="Column16065" id="16084"/>
    <tableColumn name="Column16066" id="16085"/>
    <tableColumn name="Column16067" id="16086"/>
    <tableColumn name="Column16068" id="16087"/>
    <tableColumn name="Column16069" id="16088"/>
    <tableColumn name="Column16070" id="16089"/>
    <tableColumn name="Column16071" id="16090"/>
    <tableColumn name="Column16072" id="16091"/>
    <tableColumn name="Column16073" id="16092"/>
    <tableColumn name="Column16074" id="16093"/>
    <tableColumn name="Column16075" id="16094"/>
    <tableColumn name="Column16076" id="16095"/>
    <tableColumn name="Column16077" id="16096"/>
    <tableColumn name="Column16078" id="16097"/>
    <tableColumn name="Column16079" id="16098"/>
    <tableColumn name="Column16080" id="16099"/>
    <tableColumn name="Column16081" id="16100"/>
    <tableColumn name="Column16082" id="16101"/>
    <tableColumn name="Column16083" id="16102"/>
    <tableColumn name="Column16084" id="16103"/>
    <tableColumn name="Column16085" id="16104"/>
    <tableColumn name="Column16086" id="16105"/>
    <tableColumn name="Column16087" id="16106"/>
    <tableColumn name="Column16088" id="16107"/>
    <tableColumn name="Column16089" id="16108"/>
    <tableColumn name="Column16090" id="16109"/>
    <tableColumn name="Column16091" id="16110"/>
    <tableColumn name="Column16092" id="16111"/>
    <tableColumn name="Column16093" id="16112"/>
    <tableColumn name="Column16094" id="16113"/>
    <tableColumn name="Column16095" id="16114"/>
    <tableColumn name="Column16096" id="16115"/>
    <tableColumn name="Column16097" id="16116"/>
    <tableColumn name="Column16098" id="16117"/>
    <tableColumn name="Column16099" id="16118"/>
    <tableColumn name="Column16100" id="16119"/>
    <tableColumn name="Column16101" id="16120"/>
    <tableColumn name="Column16102" id="16121"/>
    <tableColumn name="Column16103" id="16122"/>
    <tableColumn name="Column16104" id="16123"/>
    <tableColumn name="Column16105" id="16124"/>
    <tableColumn name="Column16106" id="16125"/>
    <tableColumn name="Column16107" id="16126"/>
    <tableColumn name="Column16108" id="16127"/>
    <tableColumn name="Column16109" id="16128"/>
    <tableColumn name="Column16110" id="16129"/>
    <tableColumn name="Column16111" id="16130"/>
    <tableColumn name="Column16112" id="16131"/>
    <tableColumn name="Column16113" id="16132"/>
    <tableColumn name="Column16114" id="16133"/>
    <tableColumn name="Column16115" id="16134"/>
    <tableColumn name="Column16116" id="16135"/>
    <tableColumn name="Column16117" id="16136"/>
    <tableColumn name="Column16118" id="16137"/>
    <tableColumn name="Column16119" id="16138"/>
    <tableColumn name="Column16120" id="16139"/>
    <tableColumn name="Column16121" id="16140"/>
    <tableColumn name="Column16122" id="16141"/>
    <tableColumn name="Column16123" id="16142"/>
    <tableColumn name="Column16124" id="16143"/>
    <tableColumn name="Column16125" id="16144"/>
    <tableColumn name="Column16126" id="16145"/>
    <tableColumn name="Column16127" id="16146"/>
    <tableColumn name="Column16128" id="16147"/>
    <tableColumn name="Column16129" id="16148"/>
    <tableColumn name="Column16130" id="16149"/>
    <tableColumn name="Column16131" id="16150"/>
    <tableColumn name="Column16132" id="16151"/>
    <tableColumn name="Column16133" id="16152"/>
    <tableColumn name="Column16134" id="16153"/>
    <tableColumn name="Column16135" id="16154"/>
    <tableColumn name="Column16136" id="16155"/>
    <tableColumn name="Column16137" id="16156"/>
    <tableColumn name="Column16138" id="16157"/>
    <tableColumn name="Column16139" id="16158"/>
    <tableColumn name="Column16140" id="16159"/>
    <tableColumn name="Column16141" id="16160"/>
    <tableColumn name="Column16142" id="16161"/>
    <tableColumn name="Column16143" id="16162"/>
    <tableColumn name="Column16144" id="16163"/>
    <tableColumn name="Column16145" id="16164"/>
    <tableColumn name="Column16146" id="16165"/>
    <tableColumn name="Column16147" id="16166"/>
    <tableColumn name="Column16148" id="16167"/>
    <tableColumn name="Column16149" id="16168"/>
    <tableColumn name="Column16150" id="16169"/>
    <tableColumn name="Column16151" id="16170"/>
    <tableColumn name="Column16152" id="16171"/>
    <tableColumn name="Column16153" id="16172"/>
    <tableColumn name="Column16154" id="16173"/>
    <tableColumn name="Column16155" id="16174"/>
    <tableColumn name="Column16156" id="16175"/>
    <tableColumn name="Column16157" id="16176"/>
    <tableColumn name="Column16158" id="16177"/>
    <tableColumn name="Column16159" id="16178"/>
    <tableColumn name="Column16160" id="16179"/>
    <tableColumn name="Column16161" id="16180"/>
    <tableColumn name="Column16162" id="16181"/>
    <tableColumn name="Column16163" id="16182"/>
    <tableColumn name="Column16164" id="16183"/>
    <tableColumn name="Column16165" id="16184"/>
    <tableColumn name="Column16166" id="16185"/>
    <tableColumn name="Column16167" id="16186"/>
    <tableColumn name="Column16168" id="16187"/>
    <tableColumn name="Column16169" id="16188"/>
    <tableColumn name="Column16170" id="16189"/>
    <tableColumn name="Column16171" id="16190"/>
    <tableColumn name="Column16172" id="16191"/>
    <tableColumn name="Column16173" id="16192"/>
    <tableColumn name="Column16174" id="16193"/>
    <tableColumn name="Column16175" id="16194"/>
    <tableColumn name="Column16176" id="16195"/>
    <tableColumn name="Column16177" id="16196"/>
    <tableColumn name="Column16178" id="16197"/>
    <tableColumn name="Column16179" id="16198"/>
    <tableColumn name="Column16180" id="16199"/>
    <tableColumn name="Column16181" id="16200"/>
    <tableColumn name="Column16182" id="16201"/>
    <tableColumn name="Column16183" id="16202"/>
    <tableColumn name="Column16184" id="16203"/>
    <tableColumn name="Column16185" id="16204"/>
    <tableColumn name="Column16186" id="16205"/>
    <tableColumn name="Column16187" id="16206"/>
    <tableColumn name="Column16188" id="16207"/>
    <tableColumn name="Column16189" id="16208"/>
    <tableColumn name="Column16190" id="16209"/>
    <tableColumn name="Column16191" id="16210"/>
    <tableColumn name="Column16192" id="16211"/>
    <tableColumn name="Column16193" id="16212"/>
    <tableColumn name="Column16194" id="16213"/>
    <tableColumn name="Column16195" id="16214"/>
    <tableColumn name="Column16196" id="16215"/>
    <tableColumn name="Column16197" id="16216"/>
    <tableColumn name="Column16198" id="16217"/>
    <tableColumn name="Column16199" id="16218"/>
    <tableColumn name="Column16200" id="16219"/>
    <tableColumn name="Column16201" id="16220"/>
    <tableColumn name="Column16202" id="16221"/>
    <tableColumn name="Column16203" id="16222"/>
    <tableColumn name="Column16204" id="16223"/>
    <tableColumn name="Column16205" id="16224"/>
    <tableColumn name="Column16206" id="16225"/>
    <tableColumn name="Column16207" id="16226"/>
    <tableColumn name="Column16208" id="16227"/>
    <tableColumn name="Column16209" id="16228"/>
    <tableColumn name="Column16210" id="16229"/>
    <tableColumn name="Column16211" id="16230"/>
    <tableColumn name="Column16212" id="16231"/>
    <tableColumn name="Column16213" id="16232"/>
    <tableColumn name="Column16214" id="16233"/>
    <tableColumn name="Column16215" id="16234"/>
    <tableColumn name="Column16216" id="16235"/>
    <tableColumn name="Column16217" id="16236"/>
    <tableColumn name="Column16218" id="16237"/>
    <tableColumn name="Column16219" id="16238"/>
    <tableColumn name="Column16220" id="16239"/>
    <tableColumn name="Column16221" id="16240"/>
    <tableColumn name="Column16222" id="16241"/>
    <tableColumn name="Column16223" id="16242"/>
    <tableColumn name="Column16224" id="16243"/>
    <tableColumn name="Column16225" id="16244"/>
    <tableColumn name="Column16226" id="16245"/>
    <tableColumn name="Column16227" id="16246"/>
    <tableColumn name="Column16228" id="16247"/>
    <tableColumn name="Column16229" id="16248"/>
    <tableColumn name="Column16230" id="16249"/>
    <tableColumn name="Column16231" id="16250"/>
    <tableColumn name="Column16232" id="16251"/>
    <tableColumn name="Column16233" id="16252"/>
    <tableColumn name="Column16234" id="16253"/>
    <tableColumn name="Column16235" id="16254"/>
    <tableColumn name="Column16236" id="16255"/>
    <tableColumn name="Column16237" id="16256"/>
    <tableColumn name="Column16238" id="16257"/>
    <tableColumn name="Column16239" id="16258"/>
    <tableColumn name="Column16240" id="16259"/>
    <tableColumn name="Column16241" id="16260"/>
    <tableColumn name="Column16242" id="16261"/>
    <tableColumn name="Column16243" id="16262"/>
    <tableColumn name="Column16244" id="16263"/>
    <tableColumn name="Column16245" id="16264"/>
    <tableColumn name="Column16246" id="16265"/>
    <tableColumn name="Column16247" id="16266"/>
    <tableColumn name="Column16248" id="16267"/>
    <tableColumn name="Column16249" id="16268"/>
    <tableColumn name="Column16250" id="16269"/>
    <tableColumn name="Column16251" id="16270"/>
    <tableColumn name="Column16252" id="16271"/>
    <tableColumn name="Column16253" id="16272"/>
    <tableColumn name="Column16254" id="16273"/>
    <tableColumn name="Column16255" id="16274"/>
    <tableColumn name="Column16256" id="16275"/>
    <tableColumn name="Column16257" id="16276"/>
    <tableColumn name="Column16258" id="16277"/>
    <tableColumn name="Column16259" id="16278"/>
    <tableColumn name="Column16260" id="16279"/>
    <tableColumn name="Column16261" id="16280"/>
    <tableColumn name="Column16262" id="16281"/>
    <tableColumn name="Column16263" id="16282"/>
    <tableColumn name="Column16264" id="16283"/>
    <tableColumn name="Column16265" id="16284"/>
    <tableColumn name="Column16266" id="16285"/>
    <tableColumn name="Column16267" id="16286"/>
    <tableColumn name="Column16268" id="16287"/>
    <tableColumn name="Column16269" id="16288"/>
    <tableColumn name="Column16270" id="16289"/>
    <tableColumn name="Column16271" id="16290"/>
    <tableColumn name="Column16272" id="16291"/>
    <tableColumn name="Column16273" id="16292"/>
    <tableColumn name="Column16274" id="16293"/>
    <tableColumn name="Column16275" id="16294"/>
    <tableColumn name="Column16276" id="16295"/>
    <tableColumn name="Column16277" id="16296"/>
    <tableColumn name="Column16278" id="16297"/>
    <tableColumn name="Column16279" id="16298"/>
    <tableColumn name="Column16280" id="16299"/>
    <tableColumn name="Column16281" id="16300"/>
    <tableColumn name="Column16282" id="16301"/>
    <tableColumn name="Column16283" id="16302"/>
    <tableColumn name="Column16284" id="16303"/>
    <tableColumn name="Column16285" id="16304"/>
    <tableColumn name="Column16286" id="16305"/>
    <tableColumn name="Column16287" id="16306"/>
    <tableColumn name="Column16288" id="16307"/>
    <tableColumn name="Column16289" id="16308"/>
    <tableColumn name="Column16290" id="16309"/>
    <tableColumn name="Column16291" id="16310"/>
    <tableColumn name="Column16292" id="16311"/>
    <tableColumn name="Column16293" id="16312"/>
    <tableColumn name="Column16294" id="16313"/>
    <tableColumn name="Column16295" id="16314"/>
    <tableColumn name="Column16296" id="16315"/>
    <tableColumn name="Column16297" id="16316"/>
    <tableColumn name="Column16298" id="16317"/>
    <tableColumn name="Column16299" id="16318"/>
    <tableColumn name="Column16300" id="16319"/>
    <tableColumn name="Column16301" id="16320"/>
    <tableColumn name="Column16302" id="16321"/>
    <tableColumn name="Column16303" id="16322"/>
    <tableColumn name="Column16304" id="16323"/>
    <tableColumn name="Column16305" id="16324"/>
    <tableColumn name="Column16306" id="16325"/>
    <tableColumn name="Column16307" id="16326"/>
    <tableColumn name="Column16308" id="16327"/>
    <tableColumn name="Column16309" id="16328"/>
    <tableColumn name="Column16310" id="16329"/>
    <tableColumn name="Column16311" id="16330"/>
    <tableColumn name="Column16312" id="16331"/>
    <tableColumn name="Column16313" id="16332"/>
    <tableColumn name="Column16314" id="16333"/>
    <tableColumn name="Column16315" id="16334"/>
    <tableColumn name="Column16316" id="16335"/>
    <tableColumn name="Column16317" id="16336"/>
    <tableColumn name="Column16318" id="16337"/>
    <tableColumn name="Column16319" id="16338"/>
    <tableColumn name="Column16320" id="16339"/>
    <tableColumn name="Column16321" id="16340"/>
    <tableColumn name="Column16322" id="16341"/>
    <tableColumn name="Column16323" id="16342"/>
    <tableColumn name="Column16324" id="16343"/>
    <tableColumn name="Column16325" id="16344"/>
    <tableColumn name="Column16326" id="16345"/>
    <tableColumn name="Column16327" id="16346"/>
    <tableColumn name="Column16328" id="16347"/>
    <tableColumn name="Column16329" id="16348"/>
    <tableColumn name="Column16330" id="16349"/>
    <tableColumn name="Column16331" id="16350"/>
    <tableColumn name="Column16332" id="16351"/>
    <tableColumn name="Column16333" id="16352"/>
    <tableColumn name="Column16334" id="16353"/>
    <tableColumn name="Column16335" id="16354"/>
    <tableColumn name="Column16336" id="16355"/>
    <tableColumn name="Column16337" id="16356"/>
    <tableColumn name="Column16338" id="16357"/>
    <tableColumn name="Column16339" id="16358"/>
    <tableColumn name="Column16340" id="16359"/>
    <tableColumn name="Column16341" id="16360"/>
    <tableColumn name="Column16342" id="16361"/>
    <tableColumn name="Column16343" id="16362"/>
    <tableColumn name="Column16344" id="16363"/>
    <tableColumn name="Column16345" id="16364"/>
    <tableColumn name="Column16346" id="16365"/>
    <tableColumn name="Column16347" id="16366"/>
    <tableColumn name="Column16348" id="16367"/>
    <tableColumn name="Column16349" id="16368"/>
    <tableColumn name="Column16350" id="16369"/>
    <tableColumn name="Column16351" id="16370"/>
    <tableColumn name="Column16352" id="16371"/>
    <tableColumn name="Column16353" id="16372"/>
    <tableColumn name="Column16354" id="16373"/>
    <tableColumn name="Column16355" id="16374"/>
    <tableColumn name="Column16356" id="16375"/>
    <tableColumn name="Column16357" id="16376"/>
    <tableColumn name="Column16358" id="16377"/>
    <tableColumn name="Column16359" id="16378"/>
    <tableColumn name="Column16360" id="16379"/>
    <tableColumn name="Column16361" id="16380"/>
    <tableColumn name="Column16362" id="16381"/>
    <tableColumn name="Column16363" id="16382"/>
    <tableColumn name="Column16364" id="16383"/>
    <tableColumn name="Column16365" id="16384"/>
  </tableColumns>
  <tableStyleInfo name="Retirement Mod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57"/>
    <col customWidth="1" min="2" max="2" width="24.71"/>
    <col customWidth="1" min="9" max="9" width="17.86"/>
  </cols>
  <sheetData>
    <row r="1">
      <c r="A1" s="1" t="s">
        <v>0</v>
      </c>
      <c r="C1" s="2"/>
      <c r="D1" s="2"/>
      <c r="E1" s="2"/>
      <c r="F1" s="2"/>
      <c r="G1" s="2"/>
    </row>
    <row r="2">
      <c r="A2" s="3"/>
      <c r="B2" s="3"/>
      <c r="C2" s="3"/>
      <c r="D2" s="3"/>
      <c r="E2" s="3"/>
      <c r="F2" s="3"/>
      <c r="G2" s="4"/>
    </row>
    <row r="3">
      <c r="A3" s="5"/>
      <c r="B3" s="3"/>
      <c r="C3" s="3"/>
      <c r="D3" s="3"/>
      <c r="E3" s="3"/>
      <c r="F3" s="3"/>
      <c r="G3" s="3"/>
    </row>
    <row r="4">
      <c r="A4" s="6" t="s">
        <v>1</v>
      </c>
      <c r="B4" s="7"/>
      <c r="C4" s="7"/>
      <c r="D4" s="7"/>
      <c r="E4" s="7"/>
      <c r="F4" s="7"/>
      <c r="G4" s="7"/>
    </row>
    <row r="5">
      <c r="A5" s="8"/>
      <c r="B5" s="9"/>
      <c r="C5" s="9"/>
      <c r="D5" s="9"/>
      <c r="E5" s="9"/>
      <c r="F5" s="9"/>
      <c r="G5" s="9"/>
    </row>
    <row r="6">
      <c r="A6" s="10" t="s">
        <v>2</v>
      </c>
      <c r="B6" s="11">
        <v>5.0</v>
      </c>
      <c r="C6" s="12"/>
      <c r="D6" s="13"/>
      <c r="E6" s="13"/>
      <c r="F6" s="14"/>
      <c r="G6" s="12"/>
    </row>
    <row r="7">
      <c r="A7" s="10" t="s">
        <v>3</v>
      </c>
      <c r="B7" s="11">
        <v>46.0</v>
      </c>
      <c r="C7" s="12"/>
      <c r="D7" s="13"/>
      <c r="F7" s="14"/>
      <c r="G7" s="12"/>
    </row>
    <row r="8">
      <c r="A8" s="10" t="s">
        <v>4</v>
      </c>
      <c r="B8" s="11">
        <f>B7+B6</f>
        <v>51</v>
      </c>
      <c r="C8" s="12"/>
      <c r="D8" s="12"/>
      <c r="E8" s="12"/>
      <c r="F8" s="12"/>
      <c r="G8" s="12"/>
      <c r="I8" s="24" t="s">
        <v>7</v>
      </c>
      <c r="J8" s="24">
        <v>600000.0</v>
      </c>
      <c r="L8" s="24"/>
    </row>
    <row r="9">
      <c r="A9" s="29"/>
      <c r="B9" s="31"/>
      <c r="C9" s="29"/>
      <c r="D9" s="29"/>
      <c r="E9" s="29"/>
      <c r="F9" s="29"/>
      <c r="G9" s="29"/>
    </row>
    <row r="10">
      <c r="A10" s="35" t="s">
        <v>13</v>
      </c>
      <c r="B10" s="36"/>
      <c r="C10" s="36"/>
      <c r="D10" s="36"/>
      <c r="E10" s="36"/>
      <c r="F10" s="36"/>
      <c r="G10" s="36"/>
      <c r="I10" s="24" t="s">
        <v>16</v>
      </c>
      <c r="J10" s="24" t="s">
        <v>18</v>
      </c>
      <c r="K10" s="24" t="s">
        <v>19</v>
      </c>
    </row>
    <row r="11">
      <c r="A11" s="39"/>
      <c r="B11" s="40" t="s">
        <v>21</v>
      </c>
      <c r="C11" s="40" t="s">
        <v>23</v>
      </c>
      <c r="D11" s="40" t="s">
        <v>24</v>
      </c>
      <c r="E11" s="40" t="s">
        <v>25</v>
      </c>
      <c r="F11" s="40" t="s">
        <v>26</v>
      </c>
      <c r="G11" s="12"/>
      <c r="I11" s="24">
        <v>46.0</v>
      </c>
      <c r="J11" s="44">
        <f t="shared" ref="J11:J16" si="1">$F$15</f>
        <v>100000</v>
      </c>
      <c r="K11" s="44">
        <f>J8-J11</f>
        <v>500000</v>
      </c>
    </row>
    <row r="12">
      <c r="A12" s="10" t="s">
        <v>30</v>
      </c>
      <c r="B12" s="56">
        <f t="shared" ref="B12:B17" si="2">F12/52</f>
        <v>0</v>
      </c>
      <c r="C12" s="56">
        <f t="shared" ref="C12:C17" si="3">F12/26</f>
        <v>0</v>
      </c>
      <c r="D12" s="56">
        <f t="shared" ref="D12:D17" si="4">F12/12</f>
        <v>0</v>
      </c>
      <c r="E12" s="56">
        <f t="shared" ref="E12:E17" si="5">F12/4</f>
        <v>0</v>
      </c>
      <c r="F12" s="57"/>
      <c r="G12" s="12"/>
      <c r="I12" s="59">
        <f t="shared" ref="I12:I16" si="6">I11+1</f>
        <v>47</v>
      </c>
      <c r="J12" s="44">
        <f t="shared" si="1"/>
        <v>100000</v>
      </c>
      <c r="K12" s="44">
        <f t="shared" ref="K12:K16" si="7">K11-J12</f>
        <v>400000</v>
      </c>
    </row>
    <row r="13">
      <c r="A13" s="10" t="s">
        <v>44</v>
      </c>
      <c r="B13" s="56">
        <f t="shared" si="2"/>
        <v>0</v>
      </c>
      <c r="C13" s="56">
        <f t="shared" si="3"/>
        <v>0</v>
      </c>
      <c r="D13" s="56">
        <f t="shared" si="4"/>
        <v>0</v>
      </c>
      <c r="E13" s="56">
        <f t="shared" si="5"/>
        <v>0</v>
      </c>
      <c r="F13" s="61"/>
      <c r="G13" s="12"/>
      <c r="I13" s="59">
        <f t="shared" si="6"/>
        <v>48</v>
      </c>
      <c r="J13" s="44">
        <f t="shared" si="1"/>
        <v>100000</v>
      </c>
      <c r="K13" s="44">
        <f t="shared" si="7"/>
        <v>300000</v>
      </c>
    </row>
    <row r="14">
      <c r="A14" s="10" t="s">
        <v>45</v>
      </c>
      <c r="B14" s="56">
        <f t="shared" si="2"/>
        <v>0</v>
      </c>
      <c r="C14" s="56">
        <f t="shared" si="3"/>
        <v>0</v>
      </c>
      <c r="D14" s="56">
        <f t="shared" si="4"/>
        <v>0</v>
      </c>
      <c r="E14" s="56">
        <f t="shared" si="5"/>
        <v>0</v>
      </c>
      <c r="F14" s="61"/>
      <c r="G14" s="12"/>
      <c r="I14" s="59">
        <f t="shared" si="6"/>
        <v>49</v>
      </c>
      <c r="J14" s="44">
        <f t="shared" si="1"/>
        <v>100000</v>
      </c>
      <c r="K14" s="44">
        <f t="shared" si="7"/>
        <v>200000</v>
      </c>
    </row>
    <row r="15">
      <c r="A15" s="10" t="s">
        <v>6</v>
      </c>
      <c r="B15" s="56">
        <f t="shared" si="2"/>
        <v>1923.076923</v>
      </c>
      <c r="C15" s="56">
        <f t="shared" si="3"/>
        <v>3846.153846</v>
      </c>
      <c r="D15" s="56">
        <f t="shared" si="4"/>
        <v>8333.333333</v>
      </c>
      <c r="E15" s="56">
        <f t="shared" si="5"/>
        <v>25000</v>
      </c>
      <c r="F15" s="57">
        <v>100000.0</v>
      </c>
      <c r="G15" s="12"/>
      <c r="I15" s="59">
        <f t="shared" si="6"/>
        <v>50</v>
      </c>
      <c r="J15" s="44">
        <f t="shared" si="1"/>
        <v>100000</v>
      </c>
      <c r="K15" s="44">
        <f t="shared" si="7"/>
        <v>100000</v>
      </c>
    </row>
    <row r="16">
      <c r="A16" s="10" t="s">
        <v>46</v>
      </c>
      <c r="B16" s="56">
        <f t="shared" si="2"/>
        <v>0</v>
      </c>
      <c r="C16" s="56">
        <f t="shared" si="3"/>
        <v>0</v>
      </c>
      <c r="D16" s="56">
        <f t="shared" si="4"/>
        <v>0</v>
      </c>
      <c r="E16" s="56">
        <f t="shared" si="5"/>
        <v>0</v>
      </c>
      <c r="F16" s="61"/>
      <c r="G16" s="12"/>
      <c r="I16" s="59">
        <f t="shared" si="6"/>
        <v>51</v>
      </c>
      <c r="J16" s="44">
        <f t="shared" si="1"/>
        <v>100000</v>
      </c>
      <c r="K16" s="44">
        <f t="shared" si="7"/>
        <v>0</v>
      </c>
    </row>
    <row r="17">
      <c r="A17" s="65" t="s">
        <v>11</v>
      </c>
      <c r="B17" s="56">
        <f t="shared" si="2"/>
        <v>0</v>
      </c>
      <c r="C17" s="56">
        <f t="shared" si="3"/>
        <v>0</v>
      </c>
      <c r="D17" s="56">
        <f t="shared" si="4"/>
        <v>0</v>
      </c>
      <c r="E17" s="56">
        <f t="shared" si="5"/>
        <v>0</v>
      </c>
      <c r="F17" s="61"/>
      <c r="G17" s="29"/>
    </row>
    <row r="18">
      <c r="A18" s="66" t="s">
        <v>48</v>
      </c>
      <c r="B18" s="67">
        <f t="shared" ref="B18:F18" si="8">SUM(B12:B17)</f>
        <v>1923.076923</v>
      </c>
      <c r="C18" s="67">
        <f t="shared" si="8"/>
        <v>3846.153846</v>
      </c>
      <c r="D18" s="67">
        <f t="shared" si="8"/>
        <v>8333.333333</v>
      </c>
      <c r="E18" s="67">
        <f t="shared" si="8"/>
        <v>25000</v>
      </c>
      <c r="F18" s="67">
        <f t="shared" si="8"/>
        <v>100000</v>
      </c>
      <c r="G18" s="68"/>
    </row>
    <row r="19">
      <c r="A19" s="29"/>
      <c r="B19" s="29"/>
      <c r="C19" s="29"/>
      <c r="D19" s="29"/>
      <c r="E19" s="29"/>
      <c r="F19" s="29"/>
      <c r="G19" s="29"/>
    </row>
    <row r="20">
      <c r="A20" s="6" t="s">
        <v>49</v>
      </c>
      <c r="B20" s="7"/>
      <c r="C20" s="7"/>
      <c r="D20" s="7"/>
      <c r="E20" s="7"/>
      <c r="F20" s="7"/>
      <c r="G20" s="7"/>
    </row>
    <row r="21">
      <c r="A21" s="39"/>
      <c r="B21" s="40" t="s">
        <v>21</v>
      </c>
      <c r="C21" s="40" t="s">
        <v>23</v>
      </c>
      <c r="D21" s="40" t="s">
        <v>24</v>
      </c>
      <c r="E21" s="40" t="s">
        <v>25</v>
      </c>
      <c r="F21" s="40" t="s">
        <v>26</v>
      </c>
      <c r="G21" s="70"/>
    </row>
    <row r="22">
      <c r="A22" s="71" t="s">
        <v>50</v>
      </c>
      <c r="B22" s="56">
        <f t="shared" ref="B22:B36" si="9">F22/52</f>
        <v>0</v>
      </c>
      <c r="C22" s="56">
        <v>0.0</v>
      </c>
      <c r="D22" s="56">
        <f>F22/12</f>
        <v>0</v>
      </c>
      <c r="E22" s="56">
        <f t="shared" ref="E22:E36" si="10">F22/4</f>
        <v>0</v>
      </c>
      <c r="F22" s="57">
        <v>0.0</v>
      </c>
      <c r="G22" s="12"/>
    </row>
    <row r="23">
      <c r="A23" s="71" t="s">
        <v>51</v>
      </c>
      <c r="B23" s="56">
        <f t="shared" si="9"/>
        <v>46.15384615</v>
      </c>
      <c r="C23" s="72">
        <v>100.0</v>
      </c>
      <c r="D23" s="72">
        <v>200.0</v>
      </c>
      <c r="E23" s="56">
        <f t="shared" si="10"/>
        <v>600</v>
      </c>
      <c r="F23" s="57">
        <f>D23*12</f>
        <v>2400</v>
      </c>
      <c r="G23" s="12"/>
      <c r="J23" s="74"/>
      <c r="K23" s="74"/>
      <c r="L23" s="75"/>
      <c r="M23" s="75"/>
      <c r="N23" s="75"/>
      <c r="O23" s="75"/>
      <c r="P23" s="75"/>
    </row>
    <row r="24">
      <c r="A24" s="71" t="s">
        <v>52</v>
      </c>
      <c r="B24" s="56">
        <f t="shared" si="9"/>
        <v>96.15384615</v>
      </c>
      <c r="C24" s="56">
        <v>192.30769230769232</v>
      </c>
      <c r="D24" s="56">
        <f t="shared" ref="D24:D25" si="11">F24/12</f>
        <v>416.6666667</v>
      </c>
      <c r="E24" s="56">
        <f t="shared" si="10"/>
        <v>1250</v>
      </c>
      <c r="F24" s="57">
        <f t="shared" ref="F24:F25" si="12">C24*26</f>
        <v>5000</v>
      </c>
      <c r="G24" s="12"/>
      <c r="I24" s="24" t="s">
        <v>54</v>
      </c>
      <c r="J24" s="76"/>
      <c r="K24" s="77"/>
      <c r="L24" s="78"/>
      <c r="M24" s="78"/>
      <c r="N24" s="80"/>
      <c r="O24" s="81"/>
      <c r="P24" s="81"/>
    </row>
    <row r="25">
      <c r="A25" s="71" t="s">
        <v>53</v>
      </c>
      <c r="B25" s="56">
        <f t="shared" si="9"/>
        <v>48.07692308</v>
      </c>
      <c r="C25" s="56">
        <v>96.15384615384616</v>
      </c>
      <c r="D25" s="56">
        <f t="shared" si="11"/>
        <v>208.3333333</v>
      </c>
      <c r="E25" s="56">
        <f t="shared" si="10"/>
        <v>625</v>
      </c>
      <c r="F25" s="57">
        <f t="shared" si="12"/>
        <v>2500</v>
      </c>
      <c r="G25" s="12"/>
      <c r="J25" s="76"/>
      <c r="K25" s="77"/>
      <c r="L25" s="78"/>
      <c r="M25" s="78"/>
      <c r="N25" s="78"/>
      <c r="O25" s="81"/>
      <c r="P25" s="81"/>
    </row>
    <row r="26">
      <c r="A26" s="82" t="s">
        <v>55</v>
      </c>
      <c r="B26" s="56">
        <f t="shared" si="9"/>
        <v>34.61538462</v>
      </c>
      <c r="C26" s="56">
        <v>46.15384615384615</v>
      </c>
      <c r="D26" s="72">
        <v>150.0</v>
      </c>
      <c r="E26" s="56">
        <f t="shared" si="10"/>
        <v>450</v>
      </c>
      <c r="F26" s="57">
        <f t="shared" ref="F26:F36" si="13">D26*12</f>
        <v>1800</v>
      </c>
      <c r="G26" s="29"/>
      <c r="I26" s="24" t="s">
        <v>58</v>
      </c>
      <c r="J26" s="84">
        <v>43418.5</v>
      </c>
      <c r="K26" s="77"/>
      <c r="L26" s="81"/>
      <c r="M26" s="78"/>
      <c r="N26" s="81"/>
      <c r="O26" s="78"/>
      <c r="P26" s="81"/>
    </row>
    <row r="27">
      <c r="A27" s="83" t="s">
        <v>56</v>
      </c>
      <c r="B27" s="56">
        <f t="shared" si="9"/>
        <v>11.53846154</v>
      </c>
      <c r="C27" s="56">
        <v>27.692307692307693</v>
      </c>
      <c r="D27" s="72">
        <v>50.0</v>
      </c>
      <c r="E27" s="56">
        <f t="shared" si="10"/>
        <v>150</v>
      </c>
      <c r="F27" s="57">
        <f t="shared" si="13"/>
        <v>600</v>
      </c>
      <c r="G27" s="29"/>
      <c r="I27" s="24" t="s">
        <v>60</v>
      </c>
      <c r="J27" s="85">
        <v>83812.81</v>
      </c>
      <c r="K27" s="77"/>
      <c r="L27" s="81"/>
      <c r="M27" s="78"/>
      <c r="N27" s="80"/>
      <c r="O27" s="81"/>
      <c r="P27" s="81"/>
    </row>
    <row r="28">
      <c r="A28" s="83" t="s">
        <v>57</v>
      </c>
      <c r="B28" s="56">
        <f t="shared" si="9"/>
        <v>27.69230769</v>
      </c>
      <c r="C28" s="56">
        <v>46.15384615384615</v>
      </c>
      <c r="D28" s="72">
        <v>120.0</v>
      </c>
      <c r="E28" s="56">
        <f t="shared" si="10"/>
        <v>360</v>
      </c>
      <c r="F28" s="57">
        <f t="shared" si="13"/>
        <v>1440</v>
      </c>
      <c r="G28" s="29"/>
      <c r="I28" s="24" t="s">
        <v>61</v>
      </c>
      <c r="J28" s="85">
        <v>56096.89</v>
      </c>
      <c r="K28" s="77"/>
      <c r="L28" s="81"/>
      <c r="M28" s="78"/>
      <c r="N28" s="78"/>
      <c r="O28" s="81"/>
      <c r="P28" s="81"/>
    </row>
    <row r="29">
      <c r="A29" s="82" t="s">
        <v>59</v>
      </c>
      <c r="B29" s="56">
        <f t="shared" si="9"/>
        <v>51.92307692</v>
      </c>
      <c r="C29" s="56">
        <v>115.38461538461539</v>
      </c>
      <c r="D29" s="72">
        <v>225.0</v>
      </c>
      <c r="E29" s="56">
        <f t="shared" si="10"/>
        <v>675</v>
      </c>
      <c r="F29" s="57">
        <f t="shared" si="13"/>
        <v>2700</v>
      </c>
      <c r="G29" s="29"/>
      <c r="I29" s="24" t="s">
        <v>11</v>
      </c>
      <c r="J29" s="85">
        <v>1476432.85</v>
      </c>
      <c r="K29" s="77"/>
      <c r="L29" s="81"/>
      <c r="M29" s="86"/>
      <c r="N29" s="81"/>
      <c r="O29" s="81"/>
      <c r="P29" s="81"/>
    </row>
    <row r="30">
      <c r="A30" s="83" t="s">
        <v>62</v>
      </c>
      <c r="B30" s="56">
        <f t="shared" si="9"/>
        <v>28.84615385</v>
      </c>
      <c r="C30" s="56">
        <v>46.15384615384615</v>
      </c>
      <c r="D30" s="72">
        <v>125.0</v>
      </c>
      <c r="E30" s="56">
        <f t="shared" si="10"/>
        <v>375</v>
      </c>
      <c r="F30" s="57">
        <f t="shared" si="13"/>
        <v>1500</v>
      </c>
      <c r="G30" s="29"/>
      <c r="I30" s="24" t="s">
        <v>63</v>
      </c>
      <c r="J30" s="85">
        <v>247483.73</v>
      </c>
      <c r="K30" s="77"/>
      <c r="L30" s="81"/>
      <c r="M30" s="86"/>
      <c r="N30" s="81"/>
      <c r="O30" s="81"/>
      <c r="P30" s="81"/>
    </row>
    <row r="31">
      <c r="A31" s="65" t="s">
        <v>64</v>
      </c>
      <c r="B31" s="56">
        <f t="shared" si="9"/>
        <v>28.84615385</v>
      </c>
      <c r="C31" s="56">
        <v>69.23076923076923</v>
      </c>
      <c r="D31" s="72">
        <v>125.0</v>
      </c>
      <c r="E31" s="56">
        <f t="shared" si="10"/>
        <v>375</v>
      </c>
      <c r="F31" s="57">
        <f t="shared" si="13"/>
        <v>1500</v>
      </c>
      <c r="G31" s="29"/>
      <c r="I31" s="24" t="s">
        <v>65</v>
      </c>
      <c r="J31" s="87">
        <v>71313.29</v>
      </c>
      <c r="K31" s="77"/>
      <c r="L31" s="81"/>
      <c r="M31" s="78"/>
      <c r="N31" s="78"/>
      <c r="O31" s="81"/>
      <c r="P31" s="81"/>
    </row>
    <row r="32">
      <c r="A32" s="24" t="s">
        <v>66</v>
      </c>
      <c r="B32" s="56">
        <f t="shared" si="9"/>
        <v>34.61538462</v>
      </c>
      <c r="C32" s="56">
        <v>57.69230769230769</v>
      </c>
      <c r="D32" s="72">
        <v>150.0</v>
      </c>
      <c r="E32" s="56">
        <f t="shared" si="10"/>
        <v>450</v>
      </c>
      <c r="F32" s="57">
        <f t="shared" si="13"/>
        <v>1800</v>
      </c>
      <c r="G32" s="39"/>
      <c r="I32" s="24" t="s">
        <v>67</v>
      </c>
      <c r="J32" s="89">
        <v>15673.0</v>
      </c>
      <c r="K32" s="77"/>
      <c r="L32" s="81"/>
      <c r="M32" s="78"/>
      <c r="N32" s="81"/>
      <c r="O32" s="81"/>
      <c r="P32" s="81"/>
    </row>
    <row r="33">
      <c r="A33" s="24" t="s">
        <v>68</v>
      </c>
      <c r="B33" s="56">
        <f t="shared" si="9"/>
        <v>0</v>
      </c>
      <c r="C33" s="56">
        <v>0.0</v>
      </c>
      <c r="D33" s="72">
        <v>0.0</v>
      </c>
      <c r="E33" s="56">
        <f t="shared" si="10"/>
        <v>0</v>
      </c>
      <c r="F33" s="57">
        <f t="shared" si="13"/>
        <v>0</v>
      </c>
      <c r="G33" s="39"/>
      <c r="J33" s="76"/>
      <c r="K33" s="77"/>
      <c r="L33" s="78"/>
      <c r="M33" s="78"/>
      <c r="N33" s="81"/>
      <c r="O33" s="81"/>
      <c r="P33" s="81"/>
    </row>
    <row r="34">
      <c r="A34" s="90" t="s">
        <v>69</v>
      </c>
      <c r="B34" s="56">
        <f t="shared" si="9"/>
        <v>6.923076923</v>
      </c>
      <c r="C34" s="56">
        <v>13.846153846153847</v>
      </c>
      <c r="D34" s="72">
        <v>30.0</v>
      </c>
      <c r="E34" s="56">
        <f t="shared" si="10"/>
        <v>90</v>
      </c>
      <c r="F34" s="57">
        <f t="shared" si="13"/>
        <v>360</v>
      </c>
      <c r="G34" s="39"/>
      <c r="I34" s="24" t="s">
        <v>70</v>
      </c>
      <c r="J34" s="76"/>
      <c r="K34" s="77"/>
      <c r="L34" s="81"/>
      <c r="M34" s="78"/>
      <c r="N34" s="80"/>
      <c r="O34" s="81"/>
      <c r="P34" s="81"/>
    </row>
    <row r="35">
      <c r="A35" s="90" t="s">
        <v>69</v>
      </c>
      <c r="B35" s="56">
        <f t="shared" si="9"/>
        <v>6.923076923</v>
      </c>
      <c r="C35" s="56">
        <v>13.846153846153847</v>
      </c>
      <c r="D35" s="72">
        <v>30.0</v>
      </c>
      <c r="E35" s="56">
        <f t="shared" si="10"/>
        <v>90</v>
      </c>
      <c r="F35" s="57">
        <f t="shared" si="13"/>
        <v>360</v>
      </c>
      <c r="G35" s="39"/>
      <c r="I35" s="24" t="s">
        <v>71</v>
      </c>
      <c r="J35" s="76"/>
      <c r="K35" s="77"/>
      <c r="L35" s="81"/>
      <c r="M35" s="80"/>
      <c r="N35" s="78"/>
      <c r="O35" s="81"/>
      <c r="P35" s="81"/>
    </row>
    <row r="36">
      <c r="A36" s="90" t="s">
        <v>72</v>
      </c>
      <c r="B36" s="56">
        <f t="shared" si="9"/>
        <v>6.923076923</v>
      </c>
      <c r="C36" s="56">
        <v>13.846153846153847</v>
      </c>
      <c r="D36" s="72">
        <v>30.0</v>
      </c>
      <c r="E36" s="56">
        <f t="shared" si="10"/>
        <v>90</v>
      </c>
      <c r="F36" s="57">
        <f t="shared" si="13"/>
        <v>360</v>
      </c>
      <c r="G36" s="39"/>
      <c r="I36" s="24" t="s">
        <v>73</v>
      </c>
      <c r="J36" s="76"/>
      <c r="K36" s="77"/>
      <c r="L36" s="81"/>
      <c r="M36" s="81"/>
      <c r="N36" s="80"/>
      <c r="O36" s="81"/>
      <c r="P36" s="81"/>
    </row>
    <row r="37">
      <c r="A37" s="91" t="s">
        <v>48</v>
      </c>
      <c r="B37" s="67">
        <f t="shared" ref="B37:F37" si="14">SUM(B22:B36)</f>
        <v>429.2307692</v>
      </c>
      <c r="C37" s="67">
        <f t="shared" si="14"/>
        <v>838.4615385</v>
      </c>
      <c r="D37" s="67">
        <f t="shared" si="14"/>
        <v>1860</v>
      </c>
      <c r="E37" s="67">
        <f t="shared" si="14"/>
        <v>5580</v>
      </c>
      <c r="F37" s="67">
        <f t="shared" si="14"/>
        <v>22320</v>
      </c>
      <c r="G37" s="94"/>
      <c r="I37" s="24" t="s">
        <v>75</v>
      </c>
      <c r="J37" s="76"/>
      <c r="K37" s="77"/>
      <c r="L37" s="81"/>
      <c r="M37" s="81"/>
      <c r="N37" s="80"/>
      <c r="O37" s="81"/>
      <c r="P37" s="81"/>
    </row>
    <row r="38">
      <c r="A38" s="29"/>
      <c r="B38" s="29"/>
      <c r="C38" s="29"/>
      <c r="D38" s="29"/>
      <c r="E38" s="29"/>
      <c r="F38" s="29"/>
      <c r="G38" s="29"/>
      <c r="I38" s="24" t="s">
        <v>76</v>
      </c>
      <c r="J38" s="76"/>
      <c r="K38" s="77"/>
      <c r="L38" s="81"/>
      <c r="M38" s="78"/>
      <c r="N38" s="81"/>
      <c r="O38" s="78"/>
      <c r="P38" s="81"/>
    </row>
    <row r="39">
      <c r="A39" s="6" t="s">
        <v>77</v>
      </c>
      <c r="B39" s="7"/>
      <c r="C39" s="7"/>
      <c r="D39" s="7"/>
      <c r="E39" s="7"/>
      <c r="F39" s="7"/>
      <c r="G39" s="7"/>
      <c r="I39" s="24" t="s">
        <v>78</v>
      </c>
      <c r="J39" s="76"/>
      <c r="K39" s="77"/>
      <c r="L39" s="81"/>
      <c r="M39" s="81"/>
      <c r="N39" s="81"/>
      <c r="O39" s="81"/>
      <c r="P39" s="80"/>
    </row>
    <row r="40">
      <c r="A40" s="39"/>
      <c r="B40" s="40" t="s">
        <v>21</v>
      </c>
      <c r="C40" s="40" t="s">
        <v>23</v>
      </c>
      <c r="D40" s="40" t="s">
        <v>24</v>
      </c>
      <c r="E40" s="40" t="s">
        <v>25</v>
      </c>
      <c r="F40" s="40" t="s">
        <v>26</v>
      </c>
      <c r="G40" s="12"/>
      <c r="I40" s="95" t="s">
        <v>79</v>
      </c>
      <c r="J40" s="76"/>
      <c r="K40" s="77"/>
      <c r="L40" s="78"/>
      <c r="M40" s="78"/>
      <c r="N40" s="80"/>
      <c r="O40" s="81"/>
      <c r="P40" s="81"/>
    </row>
    <row r="41">
      <c r="A41" s="82" t="s">
        <v>80</v>
      </c>
      <c r="B41" s="56">
        <f t="shared" ref="B41:B46" si="15">F41/52</f>
        <v>0</v>
      </c>
      <c r="C41" s="56">
        <v>0.0</v>
      </c>
      <c r="D41" s="56">
        <v>0.0</v>
      </c>
      <c r="E41" s="56">
        <f t="shared" ref="E41:E46" si="16">F41/4</f>
        <v>0</v>
      </c>
      <c r="F41" s="57">
        <f>C41*26</f>
        <v>0</v>
      </c>
      <c r="G41" s="12"/>
      <c r="I41" s="24" t="s">
        <v>83</v>
      </c>
      <c r="J41" s="74"/>
      <c r="K41" s="97"/>
      <c r="L41" s="98"/>
      <c r="M41" s="98"/>
      <c r="N41" s="98"/>
      <c r="O41" s="98"/>
      <c r="P41" s="98"/>
    </row>
    <row r="42">
      <c r="A42" s="99" t="s">
        <v>81</v>
      </c>
      <c r="B42" s="56">
        <f t="shared" si="15"/>
        <v>150</v>
      </c>
      <c r="C42" s="56">
        <v>300.0</v>
      </c>
      <c r="D42" s="56">
        <v>650.0</v>
      </c>
      <c r="E42" s="56">
        <f t="shared" si="16"/>
        <v>1950</v>
      </c>
      <c r="F42" s="57">
        <f t="shared" ref="F42:F46" si="17">D42*12</f>
        <v>7800</v>
      </c>
      <c r="G42" s="12"/>
      <c r="I42" s="24" t="s">
        <v>87</v>
      </c>
      <c r="J42" s="88"/>
      <c r="K42" s="100"/>
      <c r="L42" s="100"/>
      <c r="M42" s="100"/>
      <c r="N42" s="100"/>
      <c r="O42" s="100"/>
      <c r="P42" s="100"/>
    </row>
    <row r="43">
      <c r="A43" s="71" t="s">
        <v>82</v>
      </c>
      <c r="B43" s="56">
        <f t="shared" si="15"/>
        <v>67.30769231</v>
      </c>
      <c r="C43" s="56">
        <v>134.6153846153846</v>
      </c>
      <c r="D43" s="56">
        <v>291.6666666666667</v>
      </c>
      <c r="E43" s="56">
        <f t="shared" si="16"/>
        <v>875</v>
      </c>
      <c r="F43" s="57">
        <f t="shared" si="17"/>
        <v>3500</v>
      </c>
      <c r="G43" s="12"/>
    </row>
    <row r="44">
      <c r="A44" s="71" t="s">
        <v>85</v>
      </c>
      <c r="B44" s="56">
        <f t="shared" si="15"/>
        <v>46.15384615</v>
      </c>
      <c r="C44" s="56">
        <v>92.3076923076923</v>
      </c>
      <c r="D44" s="56">
        <v>200.0</v>
      </c>
      <c r="E44" s="56">
        <f t="shared" si="16"/>
        <v>600</v>
      </c>
      <c r="F44" s="57">
        <f t="shared" si="17"/>
        <v>2400</v>
      </c>
      <c r="G44" s="29"/>
    </row>
    <row r="45">
      <c r="A45" s="71" t="s">
        <v>86</v>
      </c>
      <c r="B45" s="56">
        <f t="shared" si="15"/>
        <v>0</v>
      </c>
      <c r="C45" s="56">
        <v>0.0</v>
      </c>
      <c r="D45" s="56">
        <v>0.0</v>
      </c>
      <c r="E45" s="56">
        <f t="shared" si="16"/>
        <v>0</v>
      </c>
      <c r="F45" s="57">
        <f t="shared" si="17"/>
        <v>0</v>
      </c>
      <c r="G45" s="29"/>
    </row>
    <row r="46">
      <c r="B46" s="56">
        <f t="shared" si="15"/>
        <v>0</v>
      </c>
      <c r="C46" s="56">
        <v>0.0</v>
      </c>
      <c r="D46" s="56">
        <v>0.0</v>
      </c>
      <c r="E46" s="56">
        <f t="shared" si="16"/>
        <v>0</v>
      </c>
      <c r="F46" s="57">
        <f t="shared" si="17"/>
        <v>0</v>
      </c>
      <c r="G46" s="29"/>
    </row>
    <row r="47">
      <c r="A47" s="91" t="s">
        <v>48</v>
      </c>
      <c r="B47" s="67">
        <f t="shared" ref="B47:F47" si="18">SUM(B41:B46)</f>
        <v>263.4615385</v>
      </c>
      <c r="C47" s="67">
        <f t="shared" si="18"/>
        <v>526.9230769</v>
      </c>
      <c r="D47" s="67">
        <f t="shared" si="18"/>
        <v>1141.666667</v>
      </c>
      <c r="E47" s="67">
        <f t="shared" si="18"/>
        <v>3425</v>
      </c>
      <c r="F47" s="67">
        <f t="shared" si="18"/>
        <v>13700</v>
      </c>
      <c r="G47" s="94"/>
    </row>
    <row r="48">
      <c r="A48" s="62"/>
      <c r="B48" s="63"/>
      <c r="C48" s="63"/>
      <c r="D48" s="63"/>
      <c r="E48" s="63"/>
      <c r="F48" s="63"/>
      <c r="G48" s="63"/>
    </row>
    <row r="49">
      <c r="A49" s="6" t="s">
        <v>88</v>
      </c>
      <c r="B49" s="7"/>
      <c r="C49" s="7"/>
      <c r="D49" s="7"/>
      <c r="E49" s="7"/>
      <c r="F49" s="7"/>
      <c r="G49" s="7"/>
    </row>
    <row r="50">
      <c r="A50" s="39"/>
      <c r="B50" s="40" t="s">
        <v>21</v>
      </c>
      <c r="C50" s="40" t="s">
        <v>23</v>
      </c>
      <c r="D50" s="40" t="s">
        <v>24</v>
      </c>
      <c r="E50" s="40" t="s">
        <v>25</v>
      </c>
      <c r="F50" s="40" t="s">
        <v>26</v>
      </c>
      <c r="G50" s="12"/>
    </row>
    <row r="51">
      <c r="A51" s="71" t="s">
        <v>89</v>
      </c>
      <c r="B51" s="56">
        <f t="shared" ref="B51:B53" si="19">F51/52</f>
        <v>9.615384615</v>
      </c>
      <c r="C51" s="56">
        <v>19.23076923076923</v>
      </c>
      <c r="D51" s="56">
        <v>41.666666666666664</v>
      </c>
      <c r="E51" s="56">
        <f t="shared" ref="E51:E53" si="20">F51/4</f>
        <v>125</v>
      </c>
      <c r="F51" s="57">
        <f t="shared" ref="F51:F53" si="21">D51*12</f>
        <v>500</v>
      </c>
      <c r="G51" s="12"/>
    </row>
    <row r="52">
      <c r="A52" s="71" t="s">
        <v>90</v>
      </c>
      <c r="B52" s="56">
        <f t="shared" si="19"/>
        <v>92.30769231</v>
      </c>
      <c r="C52" s="56">
        <v>184.6153846153846</v>
      </c>
      <c r="D52" s="56">
        <v>400.0</v>
      </c>
      <c r="E52" s="56">
        <f t="shared" si="20"/>
        <v>1200</v>
      </c>
      <c r="F52" s="57">
        <f t="shared" si="21"/>
        <v>4800</v>
      </c>
      <c r="G52" s="12"/>
    </row>
    <row r="53">
      <c r="A53" s="102" t="s">
        <v>91</v>
      </c>
      <c r="B53" s="56">
        <f t="shared" si="19"/>
        <v>9.615384615</v>
      </c>
      <c r="C53" s="56">
        <v>19.23076923076923</v>
      </c>
      <c r="D53" s="56">
        <v>41.666666666666664</v>
      </c>
      <c r="E53" s="56">
        <f t="shared" si="20"/>
        <v>125</v>
      </c>
      <c r="F53" s="57">
        <f t="shared" si="21"/>
        <v>500</v>
      </c>
      <c r="G53" s="29"/>
    </row>
    <row r="54">
      <c r="A54" s="103" t="s">
        <v>48</v>
      </c>
      <c r="B54" s="67">
        <f t="shared" ref="B54:F54" si="22">SUM(B48:B53)</f>
        <v>111.5384615</v>
      </c>
      <c r="C54" s="67">
        <f t="shared" si="22"/>
        <v>223.0769231</v>
      </c>
      <c r="D54" s="67">
        <f t="shared" si="22"/>
        <v>483.3333333</v>
      </c>
      <c r="E54" s="67">
        <f t="shared" si="22"/>
        <v>1450</v>
      </c>
      <c r="F54" s="67">
        <f t="shared" si="22"/>
        <v>5800</v>
      </c>
      <c r="G54" s="104"/>
    </row>
    <row r="55">
      <c r="A55" s="62"/>
      <c r="B55" s="63"/>
      <c r="C55" s="63"/>
      <c r="D55" s="63"/>
      <c r="E55" s="63"/>
      <c r="F55" s="63"/>
      <c r="G55" s="63"/>
    </row>
    <row r="56">
      <c r="A56" s="62"/>
      <c r="B56" s="63"/>
      <c r="C56" s="63"/>
      <c r="D56" s="63"/>
      <c r="E56" s="63"/>
      <c r="F56" s="63"/>
      <c r="G56" s="63"/>
    </row>
    <row r="57">
      <c r="A57" s="6" t="s">
        <v>93</v>
      </c>
      <c r="B57" s="7"/>
      <c r="C57" s="7"/>
      <c r="D57" s="7"/>
      <c r="E57" s="7"/>
      <c r="F57" s="7"/>
      <c r="G57" s="7"/>
    </row>
    <row r="58">
      <c r="A58" s="39"/>
      <c r="B58" s="40" t="s">
        <v>21</v>
      </c>
      <c r="C58" s="40" t="s">
        <v>23</v>
      </c>
      <c r="D58" s="40" t="s">
        <v>24</v>
      </c>
      <c r="E58" s="40" t="s">
        <v>25</v>
      </c>
      <c r="F58" s="40" t="s">
        <v>26</v>
      </c>
      <c r="G58" s="12"/>
    </row>
    <row r="59">
      <c r="A59" s="90" t="s">
        <v>94</v>
      </c>
      <c r="B59" s="56">
        <f t="shared" ref="B59:B63" si="23">F59/52</f>
        <v>23.07692308</v>
      </c>
      <c r="C59" s="56">
        <v>46.15384615384615</v>
      </c>
      <c r="D59" s="56">
        <v>100.0</v>
      </c>
      <c r="E59" s="56">
        <f t="shared" ref="E59:E63" si="24">F59/4</f>
        <v>300</v>
      </c>
      <c r="F59" s="57">
        <f t="shared" ref="F59:F63" si="25">D59*12</f>
        <v>1200</v>
      </c>
      <c r="G59" s="12"/>
    </row>
    <row r="60">
      <c r="A60" s="90" t="s">
        <v>95</v>
      </c>
      <c r="B60" s="56">
        <f t="shared" si="23"/>
        <v>13.84615385</v>
      </c>
      <c r="C60" s="56">
        <v>27.692307692307693</v>
      </c>
      <c r="D60" s="56">
        <v>60.0</v>
      </c>
      <c r="E60" s="56">
        <f t="shared" si="24"/>
        <v>180</v>
      </c>
      <c r="F60" s="57">
        <f t="shared" si="25"/>
        <v>720</v>
      </c>
      <c r="G60" s="12"/>
    </row>
    <row r="61">
      <c r="A61" s="105" t="s">
        <v>96</v>
      </c>
      <c r="B61" s="56">
        <f t="shared" si="23"/>
        <v>184.6153846</v>
      </c>
      <c r="C61" s="56">
        <v>400.0</v>
      </c>
      <c r="D61" s="72">
        <v>800.0</v>
      </c>
      <c r="E61" s="56">
        <f t="shared" si="24"/>
        <v>2400</v>
      </c>
      <c r="F61" s="57">
        <f t="shared" si="25"/>
        <v>9600</v>
      </c>
      <c r="G61" s="12"/>
    </row>
    <row r="62">
      <c r="A62" s="90" t="s">
        <v>97</v>
      </c>
      <c r="B62" s="56">
        <f t="shared" si="23"/>
        <v>46.15384615</v>
      </c>
      <c r="C62" s="56">
        <v>100.0</v>
      </c>
      <c r="D62" s="72">
        <v>200.0</v>
      </c>
      <c r="E62" s="56">
        <f t="shared" si="24"/>
        <v>600</v>
      </c>
      <c r="F62" s="57">
        <f t="shared" si="25"/>
        <v>2400</v>
      </c>
      <c r="G62" s="12"/>
    </row>
    <row r="63">
      <c r="A63" s="105" t="s">
        <v>98</v>
      </c>
      <c r="B63" s="56">
        <f t="shared" si="23"/>
        <v>23.07692308</v>
      </c>
      <c r="C63" s="56">
        <v>50.0</v>
      </c>
      <c r="D63" s="72">
        <v>100.0</v>
      </c>
      <c r="E63" s="56">
        <f t="shared" si="24"/>
        <v>300</v>
      </c>
      <c r="F63" s="57">
        <f t="shared" si="25"/>
        <v>1200</v>
      </c>
      <c r="G63" s="29"/>
    </row>
    <row r="64">
      <c r="A64" s="103" t="s">
        <v>48</v>
      </c>
      <c r="B64" s="67">
        <f t="shared" ref="B64:F64" si="26">SUM(B59:B63)</f>
        <v>290.7692308</v>
      </c>
      <c r="C64" s="67">
        <f t="shared" si="26"/>
        <v>623.8461538</v>
      </c>
      <c r="D64" s="67">
        <f t="shared" si="26"/>
        <v>1260</v>
      </c>
      <c r="E64" s="67">
        <f t="shared" si="26"/>
        <v>3780</v>
      </c>
      <c r="F64" s="67">
        <f t="shared" si="26"/>
        <v>15120</v>
      </c>
      <c r="G64" s="104"/>
    </row>
    <row r="65">
      <c r="A65" s="106"/>
      <c r="B65" s="29"/>
      <c r="C65" s="9"/>
      <c r="D65" s="29"/>
      <c r="E65" s="29"/>
      <c r="F65" s="29"/>
      <c r="G65" s="29"/>
    </row>
    <row r="66">
      <c r="A66" s="6" t="s">
        <v>100</v>
      </c>
      <c r="B66" s="7"/>
      <c r="C66" s="7"/>
      <c r="D66" s="7"/>
      <c r="E66" s="7"/>
      <c r="F66" s="7"/>
      <c r="G66" s="7"/>
    </row>
    <row r="67">
      <c r="A67" s="39"/>
      <c r="B67" s="40" t="s">
        <v>21</v>
      </c>
      <c r="C67" s="40" t="s">
        <v>23</v>
      </c>
      <c r="D67" s="40" t="s">
        <v>24</v>
      </c>
      <c r="E67" s="40" t="s">
        <v>25</v>
      </c>
      <c r="F67" s="40" t="s">
        <v>26</v>
      </c>
      <c r="G67" s="12"/>
    </row>
    <row r="68">
      <c r="A68" s="71" t="s">
        <v>101</v>
      </c>
      <c r="B68" s="56">
        <f t="shared" ref="B68:B76" si="27">F68/52</f>
        <v>150</v>
      </c>
      <c r="C68" s="56">
        <v>300.0</v>
      </c>
      <c r="D68" s="56">
        <v>650.0</v>
      </c>
      <c r="E68" s="56">
        <f t="shared" ref="E68:E76" si="28">F68/4</f>
        <v>1950</v>
      </c>
      <c r="F68" s="57">
        <f t="shared" ref="F68:F76" si="29">D68*12</f>
        <v>7800</v>
      </c>
      <c r="G68" s="29"/>
    </row>
    <row r="69">
      <c r="A69" s="107" t="s">
        <v>102</v>
      </c>
      <c r="B69" s="56">
        <f t="shared" si="27"/>
        <v>50</v>
      </c>
      <c r="C69" s="56">
        <v>100.0</v>
      </c>
      <c r="D69" s="56">
        <v>216.66666666666666</v>
      </c>
      <c r="E69" s="56">
        <f t="shared" si="28"/>
        <v>650</v>
      </c>
      <c r="F69" s="57">
        <f t="shared" si="29"/>
        <v>2600</v>
      </c>
      <c r="G69" s="29"/>
    </row>
    <row r="70">
      <c r="A70" s="90" t="s">
        <v>103</v>
      </c>
      <c r="B70" s="56">
        <f t="shared" si="27"/>
        <v>69.23076923</v>
      </c>
      <c r="C70" s="56">
        <v>400.0</v>
      </c>
      <c r="D70" s="72">
        <v>300.0</v>
      </c>
      <c r="E70" s="56">
        <f t="shared" si="28"/>
        <v>900</v>
      </c>
      <c r="F70" s="57">
        <f t="shared" si="29"/>
        <v>3600</v>
      </c>
      <c r="G70" s="12"/>
    </row>
    <row r="71">
      <c r="A71" s="90" t="s">
        <v>104</v>
      </c>
      <c r="B71" s="56">
        <f t="shared" si="27"/>
        <v>46.15384615</v>
      </c>
      <c r="C71" s="56">
        <v>92.3076923076923</v>
      </c>
      <c r="D71" s="56">
        <v>200.0</v>
      </c>
      <c r="E71" s="56">
        <f t="shared" si="28"/>
        <v>600</v>
      </c>
      <c r="F71" s="57">
        <f t="shared" si="29"/>
        <v>2400</v>
      </c>
      <c r="G71" s="29"/>
    </row>
    <row r="72">
      <c r="A72" s="71" t="s">
        <v>105</v>
      </c>
      <c r="B72" s="56">
        <f t="shared" si="27"/>
        <v>92.30769231</v>
      </c>
      <c r="C72" s="56">
        <v>184.6153846153846</v>
      </c>
      <c r="D72" s="56">
        <v>400.0</v>
      </c>
      <c r="E72" s="56">
        <f t="shared" si="28"/>
        <v>1200</v>
      </c>
      <c r="F72" s="57">
        <f t="shared" si="29"/>
        <v>4800</v>
      </c>
      <c r="G72" s="29"/>
    </row>
    <row r="73">
      <c r="A73" s="107" t="s">
        <v>106</v>
      </c>
      <c r="B73" s="56">
        <f t="shared" si="27"/>
        <v>34.61538462</v>
      </c>
      <c r="C73" s="56">
        <v>100.0</v>
      </c>
      <c r="D73" s="72">
        <v>150.0</v>
      </c>
      <c r="E73" s="56">
        <f t="shared" si="28"/>
        <v>450</v>
      </c>
      <c r="F73" s="57">
        <f t="shared" si="29"/>
        <v>1800</v>
      </c>
      <c r="G73" s="29"/>
    </row>
    <row r="74">
      <c r="A74" s="107" t="s">
        <v>107</v>
      </c>
      <c r="B74" s="56">
        <f t="shared" si="27"/>
        <v>46.15384615</v>
      </c>
      <c r="C74" s="56">
        <v>100.0</v>
      </c>
      <c r="D74" s="72">
        <v>200.0</v>
      </c>
      <c r="E74" s="56">
        <f t="shared" si="28"/>
        <v>600</v>
      </c>
      <c r="F74" s="57">
        <f t="shared" si="29"/>
        <v>2400</v>
      </c>
      <c r="G74" s="29"/>
    </row>
    <row r="75">
      <c r="A75" s="107" t="s">
        <v>108</v>
      </c>
      <c r="B75" s="56">
        <f t="shared" si="27"/>
        <v>60</v>
      </c>
      <c r="C75" s="56">
        <v>120.0</v>
      </c>
      <c r="D75" s="56">
        <v>260.0</v>
      </c>
      <c r="E75" s="56">
        <f t="shared" si="28"/>
        <v>780</v>
      </c>
      <c r="F75" s="57">
        <f t="shared" si="29"/>
        <v>3120</v>
      </c>
      <c r="G75" s="29"/>
    </row>
    <row r="76">
      <c r="A76" s="107" t="s">
        <v>109</v>
      </c>
      <c r="B76" s="56">
        <f t="shared" si="27"/>
        <v>15</v>
      </c>
      <c r="C76" s="56">
        <v>30.0</v>
      </c>
      <c r="D76" s="56">
        <v>65.0</v>
      </c>
      <c r="E76" s="56">
        <f t="shared" si="28"/>
        <v>195</v>
      </c>
      <c r="F76" s="57">
        <f t="shared" si="29"/>
        <v>780</v>
      </c>
      <c r="G76" s="29"/>
    </row>
    <row r="77">
      <c r="A77" s="103" t="s">
        <v>48</v>
      </c>
      <c r="B77" s="67">
        <f t="shared" ref="B77:E77" si="30">SUM(B73:B75)</f>
        <v>140.7692308</v>
      </c>
      <c r="C77" s="67">
        <f t="shared" si="30"/>
        <v>320</v>
      </c>
      <c r="D77" s="67">
        <f t="shared" si="30"/>
        <v>610</v>
      </c>
      <c r="E77" s="67">
        <f t="shared" si="30"/>
        <v>1830</v>
      </c>
      <c r="F77" s="67">
        <f>SUM(F68:F76)</f>
        <v>29300</v>
      </c>
      <c r="G77" s="104"/>
    </row>
    <row r="78">
      <c r="B78" s="29"/>
      <c r="C78" s="9"/>
      <c r="D78" s="29"/>
      <c r="E78" s="29"/>
      <c r="F78" s="29"/>
      <c r="G78" s="29"/>
    </row>
    <row r="80">
      <c r="A80" s="6" t="s">
        <v>110</v>
      </c>
      <c r="B80" s="7"/>
      <c r="C80" s="7"/>
      <c r="D80" s="7"/>
      <c r="E80" s="7"/>
      <c r="F80" s="7"/>
      <c r="G80" s="7"/>
    </row>
    <row r="81">
      <c r="A81" s="39"/>
      <c r="B81" s="40" t="s">
        <v>21</v>
      </c>
      <c r="C81" s="40" t="s">
        <v>23</v>
      </c>
      <c r="D81" s="40" t="s">
        <v>24</v>
      </c>
      <c r="E81" s="40" t="s">
        <v>25</v>
      </c>
      <c r="F81" s="40" t="s">
        <v>26</v>
      </c>
      <c r="G81" s="12"/>
    </row>
    <row r="82">
      <c r="A82" s="10" t="s">
        <v>111</v>
      </c>
      <c r="B82" s="56">
        <f t="shared" ref="B82:B89" si="31">F82/52</f>
        <v>0</v>
      </c>
      <c r="C82" s="56">
        <f t="shared" ref="C82:C89" si="32">F82/26</f>
        <v>0</v>
      </c>
      <c r="D82" s="56">
        <f t="shared" ref="D82:D89" si="33">F82/12</f>
        <v>0</v>
      </c>
      <c r="E82" s="56">
        <f t="shared" ref="E82:E89" si="34">F82/4</f>
        <v>0</v>
      </c>
      <c r="F82" s="57"/>
      <c r="G82" s="12"/>
    </row>
    <row r="83">
      <c r="A83" s="10" t="s">
        <v>112</v>
      </c>
      <c r="B83" s="56">
        <f t="shared" si="31"/>
        <v>0</v>
      </c>
      <c r="C83" s="56">
        <f t="shared" si="32"/>
        <v>0</v>
      </c>
      <c r="D83" s="56">
        <f t="shared" si="33"/>
        <v>0</v>
      </c>
      <c r="E83" s="56">
        <f t="shared" si="34"/>
        <v>0</v>
      </c>
      <c r="F83" s="57"/>
      <c r="G83" s="12"/>
    </row>
    <row r="84">
      <c r="A84" s="10" t="s">
        <v>113</v>
      </c>
      <c r="B84" s="56">
        <f t="shared" si="31"/>
        <v>0</v>
      </c>
      <c r="C84" s="56">
        <f t="shared" si="32"/>
        <v>0</v>
      </c>
      <c r="D84" s="56">
        <f t="shared" si="33"/>
        <v>0</v>
      </c>
      <c r="E84" s="56">
        <f t="shared" si="34"/>
        <v>0</v>
      </c>
      <c r="F84" s="57"/>
      <c r="G84" s="12"/>
    </row>
    <row r="85">
      <c r="A85" s="10"/>
      <c r="B85" s="56">
        <f t="shared" si="31"/>
        <v>0</v>
      </c>
      <c r="C85" s="56">
        <f t="shared" si="32"/>
        <v>0</v>
      </c>
      <c r="D85" s="56">
        <f t="shared" si="33"/>
        <v>0</v>
      </c>
      <c r="E85" s="56">
        <f t="shared" si="34"/>
        <v>0</v>
      </c>
      <c r="F85" s="57"/>
      <c r="G85" s="12"/>
    </row>
    <row r="86">
      <c r="A86" s="10"/>
      <c r="B86" s="56">
        <f t="shared" si="31"/>
        <v>0</v>
      </c>
      <c r="C86" s="56">
        <f t="shared" si="32"/>
        <v>0</v>
      </c>
      <c r="D86" s="56">
        <f t="shared" si="33"/>
        <v>0</v>
      </c>
      <c r="E86" s="56">
        <f t="shared" si="34"/>
        <v>0</v>
      </c>
      <c r="F86" s="57"/>
      <c r="G86" s="12"/>
    </row>
    <row r="87">
      <c r="A87" s="10"/>
      <c r="B87" s="56">
        <f t="shared" si="31"/>
        <v>0</v>
      </c>
      <c r="C87" s="56">
        <f t="shared" si="32"/>
        <v>0</v>
      </c>
      <c r="D87" s="56">
        <f t="shared" si="33"/>
        <v>0</v>
      </c>
      <c r="E87" s="56">
        <f t="shared" si="34"/>
        <v>0</v>
      </c>
      <c r="F87" s="57"/>
      <c r="G87" s="12"/>
    </row>
    <row r="88">
      <c r="A88" s="29"/>
      <c r="B88" s="56">
        <f t="shared" si="31"/>
        <v>0</v>
      </c>
      <c r="C88" s="56">
        <f t="shared" si="32"/>
        <v>0</v>
      </c>
      <c r="D88" s="56">
        <f t="shared" si="33"/>
        <v>0</v>
      </c>
      <c r="E88" s="56">
        <f t="shared" si="34"/>
        <v>0</v>
      </c>
      <c r="F88" s="57"/>
      <c r="G88" s="29"/>
    </row>
    <row r="89">
      <c r="A89" s="29"/>
      <c r="B89" s="56">
        <f t="shared" si="31"/>
        <v>0</v>
      </c>
      <c r="C89" s="56">
        <f t="shared" si="32"/>
        <v>0</v>
      </c>
      <c r="D89" s="56">
        <f t="shared" si="33"/>
        <v>0</v>
      </c>
      <c r="E89" s="56">
        <f t="shared" si="34"/>
        <v>0</v>
      </c>
      <c r="F89" s="57"/>
      <c r="G89" s="29"/>
    </row>
    <row r="90">
      <c r="A90" s="103" t="s">
        <v>48</v>
      </c>
      <c r="B90" s="67">
        <f t="shared" ref="B90:F90" si="35">SUM(B84:B89)</f>
        <v>0</v>
      </c>
      <c r="C90" s="67">
        <f t="shared" si="35"/>
        <v>0</v>
      </c>
      <c r="D90" s="67">
        <f t="shared" si="35"/>
        <v>0</v>
      </c>
      <c r="E90" s="67">
        <f t="shared" si="35"/>
        <v>0</v>
      </c>
      <c r="F90" s="67">
        <f t="shared" si="35"/>
        <v>0</v>
      </c>
      <c r="G90" s="104"/>
    </row>
    <row r="91">
      <c r="B91" s="11"/>
      <c r="C91" s="108"/>
      <c r="D91" s="108"/>
      <c r="E91" s="108"/>
      <c r="F91" s="109"/>
      <c r="G91" s="12"/>
    </row>
    <row r="92">
      <c r="B92" s="11"/>
      <c r="C92" s="108"/>
      <c r="D92" s="108"/>
      <c r="E92" s="108"/>
      <c r="F92" s="109"/>
      <c r="G92" s="12"/>
    </row>
    <row r="93">
      <c r="A93" s="6" t="s">
        <v>114</v>
      </c>
      <c r="B93" s="7"/>
      <c r="C93" s="7"/>
      <c r="D93" s="7"/>
      <c r="E93" s="7"/>
      <c r="F93" s="7"/>
      <c r="G93" s="7"/>
    </row>
    <row r="94">
      <c r="A94" s="39"/>
      <c r="B94" s="40" t="s">
        <v>21</v>
      </c>
      <c r="C94" s="40" t="s">
        <v>23</v>
      </c>
      <c r="D94" s="40" t="s">
        <v>24</v>
      </c>
      <c r="E94" s="40" t="s">
        <v>25</v>
      </c>
      <c r="F94" s="40" t="s">
        <v>26</v>
      </c>
      <c r="G94" s="12"/>
    </row>
    <row r="95">
      <c r="A95" s="29"/>
      <c r="B95" s="110">
        <f t="shared" ref="B95:F95" si="36">B37+B47+B54+B64+B77+B90</f>
        <v>1235.769231</v>
      </c>
      <c r="C95" s="110">
        <f t="shared" si="36"/>
        <v>2532.307692</v>
      </c>
      <c r="D95" s="110">
        <f t="shared" si="36"/>
        <v>5355</v>
      </c>
      <c r="E95" s="110">
        <f t="shared" si="36"/>
        <v>16065</v>
      </c>
      <c r="F95" s="110">
        <f t="shared" si="36"/>
        <v>86240</v>
      </c>
      <c r="G95" s="29"/>
    </row>
    <row r="96">
      <c r="A96" s="29"/>
      <c r="B96" s="29"/>
      <c r="C96" s="29"/>
      <c r="D96" s="29"/>
      <c r="E96" s="29"/>
      <c r="F96" s="29"/>
      <c r="G96" s="29"/>
    </row>
    <row r="97">
      <c r="A97" s="35" t="s">
        <v>115</v>
      </c>
      <c r="B97" s="36"/>
      <c r="C97" s="36"/>
      <c r="D97" s="36"/>
      <c r="E97" s="36"/>
      <c r="F97" s="36"/>
      <c r="G97" s="36"/>
    </row>
    <row r="98">
      <c r="A98" s="111"/>
      <c r="B98" s="112"/>
      <c r="C98" s="112"/>
      <c r="D98" s="112"/>
      <c r="E98" s="112"/>
      <c r="F98" s="112"/>
      <c r="G98" s="112"/>
    </row>
    <row r="99">
      <c r="A99" s="113" t="s">
        <v>114</v>
      </c>
      <c r="B99" s="114"/>
      <c r="C99" s="114"/>
      <c r="D99" s="114"/>
      <c r="E99" s="114"/>
      <c r="F99" s="110">
        <f>F37+F47+F54+F64+F77+F90</f>
        <v>86240</v>
      </c>
      <c r="G99" s="114"/>
    </row>
    <row r="100">
      <c r="A100" s="113" t="s">
        <v>116</v>
      </c>
      <c r="C100" s="114"/>
      <c r="D100" s="114"/>
      <c r="E100" s="114"/>
      <c r="F100" s="110">
        <f>F18</f>
        <v>100000</v>
      </c>
      <c r="G100" s="114"/>
    </row>
    <row r="101">
      <c r="A101" s="113" t="s">
        <v>19</v>
      </c>
      <c r="B101" s="114"/>
      <c r="C101" s="114"/>
      <c r="D101" s="114"/>
      <c r="E101" s="114"/>
      <c r="F101" s="110">
        <f>F100-F99</f>
        <v>13760</v>
      </c>
      <c r="G101" s="114"/>
    </row>
    <row r="102">
      <c r="A102" s="115" t="s">
        <v>117</v>
      </c>
      <c r="B102" s="112"/>
      <c r="C102" s="112"/>
      <c r="D102" s="112"/>
      <c r="E102" s="112"/>
      <c r="F102" s="112">
        <f>F101/12</f>
        <v>1146.666667</v>
      </c>
      <c r="G102" s="112"/>
    </row>
  </sheetData>
  <mergeCells count="3">
    <mergeCell ref="A1:B1"/>
    <mergeCell ref="D7:E7"/>
    <mergeCell ref="A100:B10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7.71"/>
    <col customWidth="1" min="3" max="3" width="17.86"/>
    <col customWidth="1" min="4" max="4" width="18.71"/>
    <col customWidth="1" min="5" max="5" width="23.43"/>
    <col customWidth="1" min="6" max="6" width="20.0"/>
    <col customWidth="1" min="7" max="7" width="18.43"/>
    <col customWidth="1" min="8" max="8" width="20.86"/>
    <col customWidth="1" min="9" max="9" width="20.43"/>
    <col customWidth="1" min="10" max="10" width="19.71"/>
    <col customWidth="1" min="11" max="11" width="23.0"/>
  </cols>
  <sheetData>
    <row r="1">
      <c r="A1" s="18" t="s">
        <v>6</v>
      </c>
      <c r="B1" s="20">
        <v>537000.0</v>
      </c>
      <c r="C1" s="22"/>
      <c r="D1" s="22"/>
      <c r="E1" s="22"/>
      <c r="F1" s="22"/>
      <c r="G1" s="22"/>
      <c r="H1" s="22"/>
      <c r="I1" s="22"/>
      <c r="J1" s="22"/>
      <c r="K1" s="22"/>
      <c r="L1" s="27"/>
      <c r="M1" s="27"/>
      <c r="N1" s="27"/>
      <c r="O1" s="27"/>
      <c r="P1" s="27"/>
      <c r="Q1" s="27"/>
      <c r="R1" s="27"/>
      <c r="S1" s="27"/>
      <c r="T1" s="27"/>
      <c r="U1" s="27"/>
      <c r="V1" s="27"/>
      <c r="W1" s="27"/>
      <c r="X1" s="27"/>
      <c r="Y1" s="27"/>
    </row>
    <row r="2">
      <c r="A2" s="18" t="s">
        <v>11</v>
      </c>
      <c r="B2" s="34">
        <v>1520933.15</v>
      </c>
      <c r="C2" s="22"/>
      <c r="D2" s="22"/>
      <c r="E2" s="22"/>
      <c r="F2" s="22"/>
      <c r="G2" s="22"/>
      <c r="H2" s="22"/>
      <c r="I2" s="22"/>
      <c r="J2" s="22"/>
      <c r="K2" s="22"/>
      <c r="L2" s="27"/>
      <c r="M2" s="27"/>
      <c r="N2" s="27"/>
      <c r="O2" s="27"/>
      <c r="P2" s="27"/>
      <c r="Q2" s="27"/>
      <c r="R2" s="27"/>
      <c r="S2" s="27"/>
      <c r="T2" s="27"/>
      <c r="U2" s="27"/>
      <c r="V2" s="27"/>
      <c r="W2" s="27"/>
      <c r="X2" s="27"/>
      <c r="Y2" s="27"/>
    </row>
    <row r="3">
      <c r="A3" s="18" t="s">
        <v>17</v>
      </c>
      <c r="B3" s="34">
        <v>150000.0</v>
      </c>
      <c r="C3" s="22"/>
      <c r="D3" s="34">
        <v>519818.77</v>
      </c>
      <c r="E3" s="22"/>
      <c r="F3" s="22"/>
      <c r="G3" s="22"/>
      <c r="H3" s="22"/>
      <c r="I3" s="22"/>
      <c r="J3" s="22"/>
      <c r="K3" s="22"/>
      <c r="L3" s="27"/>
      <c r="M3" s="27"/>
      <c r="N3" s="27"/>
      <c r="O3" s="27"/>
      <c r="P3" s="27"/>
      <c r="Q3" s="27"/>
      <c r="R3" s="27"/>
      <c r="S3" s="27"/>
      <c r="T3" s="27"/>
      <c r="U3" s="27"/>
      <c r="V3" s="27"/>
      <c r="W3" s="27"/>
      <c r="X3" s="27"/>
      <c r="Y3" s="27"/>
    </row>
    <row r="4">
      <c r="A4" s="18" t="s">
        <v>22</v>
      </c>
      <c r="B4" s="34">
        <v>100000.0</v>
      </c>
      <c r="C4" s="22"/>
      <c r="D4" s="22"/>
      <c r="E4" s="22"/>
      <c r="F4" s="22"/>
      <c r="G4" s="22"/>
      <c r="H4" s="22"/>
      <c r="I4" s="22"/>
      <c r="J4" s="22"/>
      <c r="K4" s="22"/>
      <c r="L4" s="27"/>
      <c r="M4" s="27"/>
      <c r="N4" s="27"/>
      <c r="O4" s="27"/>
      <c r="P4" s="27"/>
      <c r="Q4" s="27"/>
      <c r="R4" s="27"/>
      <c r="S4" s="27"/>
      <c r="T4" s="27"/>
      <c r="U4" s="27"/>
      <c r="V4" s="27"/>
      <c r="W4" s="27"/>
      <c r="X4" s="27"/>
      <c r="Y4" s="27"/>
    </row>
    <row r="5">
      <c r="A5" s="22" t="s">
        <v>27</v>
      </c>
      <c r="B5" s="22"/>
      <c r="C5" s="22"/>
      <c r="D5" s="22"/>
      <c r="E5" s="22"/>
      <c r="F5" s="22"/>
      <c r="G5" s="22"/>
      <c r="H5" s="22"/>
      <c r="I5" s="22"/>
      <c r="J5" s="22"/>
      <c r="K5" s="22"/>
      <c r="L5" s="27"/>
      <c r="M5" s="27"/>
      <c r="N5" s="27"/>
      <c r="O5" s="27"/>
      <c r="P5" s="27"/>
      <c r="Q5" s="27"/>
      <c r="R5" s="27"/>
      <c r="S5" s="27"/>
      <c r="T5" s="27"/>
      <c r="U5" s="27"/>
      <c r="V5" s="27"/>
      <c r="W5" s="27"/>
      <c r="X5" s="27"/>
      <c r="Y5" s="27"/>
    </row>
    <row r="6">
      <c r="A6" s="43"/>
      <c r="B6" s="43"/>
      <c r="C6" s="43"/>
      <c r="D6" s="43"/>
      <c r="E6" s="43"/>
      <c r="F6" s="43"/>
      <c r="G6" s="43"/>
      <c r="H6" s="43"/>
      <c r="I6" s="43"/>
      <c r="J6" s="43"/>
      <c r="K6" s="43"/>
      <c r="L6" s="27"/>
      <c r="M6" s="27"/>
      <c r="N6" s="27"/>
      <c r="O6" s="27"/>
      <c r="P6" s="27"/>
      <c r="Q6" s="27"/>
      <c r="R6" s="27"/>
      <c r="S6" s="27"/>
      <c r="T6" s="27"/>
      <c r="U6" s="27"/>
      <c r="V6" s="27"/>
      <c r="W6" s="27"/>
      <c r="X6" s="27"/>
      <c r="Y6" s="27"/>
    </row>
    <row r="7" ht="22.5" customHeight="1">
      <c r="A7" s="49" t="s">
        <v>16</v>
      </c>
      <c r="B7" s="49" t="s">
        <v>32</v>
      </c>
      <c r="C7" s="49" t="s">
        <v>35</v>
      </c>
      <c r="D7" s="49" t="s">
        <v>36</v>
      </c>
      <c r="E7" s="49" t="s">
        <v>37</v>
      </c>
      <c r="F7" s="49" t="s">
        <v>38</v>
      </c>
      <c r="G7" s="49" t="s">
        <v>39</v>
      </c>
      <c r="H7" s="49" t="s">
        <v>40</v>
      </c>
      <c r="I7" s="49" t="s">
        <v>41</v>
      </c>
      <c r="J7" s="49" t="s">
        <v>42</v>
      </c>
      <c r="K7" s="49" t="s">
        <v>43</v>
      </c>
      <c r="L7" s="27"/>
      <c r="M7" s="27"/>
      <c r="N7" s="27"/>
      <c r="O7" s="27"/>
      <c r="P7" s="27"/>
      <c r="Q7" s="27"/>
      <c r="R7" s="27"/>
      <c r="S7" s="27"/>
      <c r="T7" s="27"/>
      <c r="U7" s="27"/>
      <c r="V7" s="27"/>
      <c r="W7" s="27"/>
      <c r="X7" s="27"/>
      <c r="Y7" s="27"/>
    </row>
    <row r="8" ht="22.5" customHeight="1">
      <c r="A8" s="58">
        <v>1.0</v>
      </c>
      <c r="B8" s="58">
        <v>46.0</v>
      </c>
      <c r="C8" s="58">
        <v>47.0</v>
      </c>
      <c r="D8" s="60">
        <f>B1</f>
        <v>537000</v>
      </c>
      <c r="E8" s="60">
        <f>B4</f>
        <v>100000</v>
      </c>
      <c r="F8" s="60">
        <v>2250.0</v>
      </c>
      <c r="G8" s="60">
        <v>4800.0</v>
      </c>
      <c r="H8" s="60">
        <f>SUM(E8:G8)</f>
        <v>107050</v>
      </c>
      <c r="I8" s="60">
        <f>B2</f>
        <v>1520933.15</v>
      </c>
      <c r="J8" s="60">
        <f>B3</f>
        <v>150000</v>
      </c>
      <c r="K8" s="60">
        <v>55000.0</v>
      </c>
      <c r="M8" s="24" t="s">
        <v>47</v>
      </c>
    </row>
    <row r="9" ht="22.5" customHeight="1">
      <c r="A9" s="69">
        <f t="shared" ref="A9:C9" si="1">A8 + 1</f>
        <v>2</v>
      </c>
      <c r="B9" s="69">
        <f t="shared" si="1"/>
        <v>47</v>
      </c>
      <c r="C9" s="69">
        <f t="shared" si="1"/>
        <v>48</v>
      </c>
      <c r="D9" s="73">
        <f t="shared" ref="D9:D15" si="3">MAX(0, (D8 - (H8 - 0)) * 1.04)</f>
        <v>447148</v>
      </c>
      <c r="E9" s="79">
        <f t="shared" ref="E9:E52" si="4">(E8 * 1.025)</f>
        <v>102500</v>
      </c>
      <c r="F9" s="79">
        <f>IF(C9 &lt; 55, F8 * 1.025, IF(C9 &lt; 67, 2250 * (1.025^(A9-9)), 34000 * (1.025^(A9-21))))</f>
        <v>2306.25</v>
      </c>
      <c r="G9" s="79">
        <f t="shared" ref="G9:G52" si="5">IF(C9 &lt; 67, G8 * 1.025, 4500 * (1.025^(A9-21)))</f>
        <v>4920</v>
      </c>
      <c r="H9" s="73">
        <f t="shared" ref="H9:H52" si="6">sum(E9:G9)</f>
        <v>109726.25</v>
      </c>
      <c r="I9" s="73">
        <f t="shared" ref="I9:I16" si="7">IF(C9 &lt; 67, (I8 - K9) * 1.07, (I8 - K9 - (H9 - 24000*(1.025^(C9-55)))) * 1.07)</f>
        <v>1568548.471</v>
      </c>
      <c r="J9" s="73">
        <f t="shared" ref="J9:J16" si="8">IF(D8 &gt; 0, (J8 + K9) * 1.07, (J8 + K9 - (H9 - IF(C9&gt;=55, 24000*(1.025^(C9-55)), 0))) * 1.07)</f>
        <v>219350</v>
      </c>
      <c r="K9" s="73">
        <f t="shared" ref="K9:K39" si="9">IF(C9 &lt; 55, 55000, IF(C9 &lt; 67, 31000, 120000))</f>
        <v>55000</v>
      </c>
      <c r="L9" s="92"/>
      <c r="M9" s="93" t="s">
        <v>74</v>
      </c>
      <c r="N9" s="92"/>
      <c r="O9" s="92"/>
      <c r="P9" s="92"/>
      <c r="Q9" s="92"/>
      <c r="R9" s="92"/>
      <c r="S9" s="92"/>
      <c r="T9" s="92"/>
      <c r="U9" s="92"/>
      <c r="V9" s="92"/>
      <c r="W9" s="92"/>
      <c r="X9" s="92"/>
      <c r="Y9" s="92"/>
    </row>
    <row r="10" ht="22.5" customHeight="1">
      <c r="A10" s="58">
        <f t="shared" ref="A10:C10" si="2">A9 + 1</f>
        <v>3</v>
      </c>
      <c r="B10" s="58">
        <f t="shared" si="2"/>
        <v>48</v>
      </c>
      <c r="C10" s="58">
        <f t="shared" si="2"/>
        <v>49</v>
      </c>
      <c r="D10" s="60">
        <f t="shared" si="3"/>
        <v>350918.62</v>
      </c>
      <c r="E10" s="96">
        <f t="shared" si="4"/>
        <v>105062.5</v>
      </c>
      <c r="F10" s="60">
        <v>2363.91</v>
      </c>
      <c r="G10" s="96">
        <f t="shared" si="5"/>
        <v>5043</v>
      </c>
      <c r="H10" s="60">
        <f t="shared" si="6"/>
        <v>112469.41</v>
      </c>
      <c r="I10" s="60">
        <f t="shared" si="7"/>
        <v>1619496.863</v>
      </c>
      <c r="J10" s="60">
        <f t="shared" si="8"/>
        <v>293554.5</v>
      </c>
      <c r="K10" s="60">
        <f t="shared" si="9"/>
        <v>55000</v>
      </c>
      <c r="M10" s="101" t="s">
        <v>84</v>
      </c>
    </row>
    <row r="11" ht="22.5" customHeight="1">
      <c r="A11" s="69">
        <f t="shared" ref="A11:C11" si="10">A10 + 1</f>
        <v>4</v>
      </c>
      <c r="B11" s="69">
        <f t="shared" si="10"/>
        <v>49</v>
      </c>
      <c r="C11" s="69">
        <f t="shared" si="10"/>
        <v>50</v>
      </c>
      <c r="D11" s="73">
        <f t="shared" si="3"/>
        <v>247987.1784</v>
      </c>
      <c r="E11" s="79">
        <f t="shared" si="4"/>
        <v>107689.0625</v>
      </c>
      <c r="F11" s="79">
        <f t="shared" ref="F11:F52" si="12">IF(C11 &lt; 55, F10 * 1.025, IF(C11 &lt; 67, 2250 * (1.025^(A11-9)), 34000 * (1.025^(A11-21))))</f>
        <v>2423.00775</v>
      </c>
      <c r="G11" s="79">
        <f t="shared" si="5"/>
        <v>5169.075</v>
      </c>
      <c r="H11" s="73">
        <f t="shared" si="6"/>
        <v>115281.1453</v>
      </c>
      <c r="I11" s="73">
        <f t="shared" si="7"/>
        <v>1674011.644</v>
      </c>
      <c r="J11" s="73">
        <f t="shared" si="8"/>
        <v>372953.315</v>
      </c>
      <c r="K11" s="73">
        <f t="shared" si="9"/>
        <v>55000</v>
      </c>
      <c r="L11" s="92"/>
      <c r="M11" s="93" t="s">
        <v>92</v>
      </c>
      <c r="N11" s="92"/>
      <c r="O11" s="92"/>
      <c r="P11" s="92"/>
      <c r="Q11" s="92"/>
      <c r="R11" s="92"/>
      <c r="S11" s="92"/>
      <c r="T11" s="92"/>
      <c r="U11" s="92"/>
      <c r="V11" s="92"/>
      <c r="W11" s="92"/>
      <c r="X11" s="92"/>
      <c r="Y11" s="92"/>
    </row>
    <row r="12" ht="22.5" customHeight="1">
      <c r="A12" s="58">
        <f t="shared" ref="A12:C12" si="11">A11 + 1</f>
        <v>5</v>
      </c>
      <c r="B12" s="58">
        <f t="shared" si="11"/>
        <v>50</v>
      </c>
      <c r="C12" s="58">
        <f t="shared" si="11"/>
        <v>51</v>
      </c>
      <c r="D12" s="60">
        <f t="shared" si="3"/>
        <v>138014.2745</v>
      </c>
      <c r="E12" s="96">
        <f t="shared" si="4"/>
        <v>110381.2891</v>
      </c>
      <c r="F12" s="96">
        <f t="shared" si="12"/>
        <v>2483.582944</v>
      </c>
      <c r="G12" s="96">
        <f t="shared" si="5"/>
        <v>5298.301875</v>
      </c>
      <c r="H12" s="60">
        <f t="shared" si="6"/>
        <v>118163.1739</v>
      </c>
      <c r="I12" s="60">
        <f t="shared" si="7"/>
        <v>1732342.459</v>
      </c>
      <c r="J12" s="60">
        <f t="shared" si="8"/>
        <v>457910.0471</v>
      </c>
      <c r="K12" s="60">
        <f t="shared" si="9"/>
        <v>55000</v>
      </c>
      <c r="M12" s="101" t="s">
        <v>99</v>
      </c>
    </row>
    <row r="13" ht="22.5" customHeight="1">
      <c r="A13" s="58">
        <f t="shared" ref="A13:C13" si="13">A12 + 1</f>
        <v>6</v>
      </c>
      <c r="B13" s="58">
        <f t="shared" si="13"/>
        <v>51</v>
      </c>
      <c r="C13" s="58">
        <f t="shared" si="13"/>
        <v>52</v>
      </c>
      <c r="D13" s="60">
        <f t="shared" si="3"/>
        <v>20645.14462</v>
      </c>
      <c r="E13" s="96">
        <f t="shared" si="4"/>
        <v>113140.8213</v>
      </c>
      <c r="F13" s="96">
        <f t="shared" si="12"/>
        <v>2545.672517</v>
      </c>
      <c r="G13" s="96">
        <f t="shared" si="5"/>
        <v>5430.759422</v>
      </c>
      <c r="H13" s="60">
        <f t="shared" si="6"/>
        <v>121117.2532</v>
      </c>
      <c r="I13" s="60">
        <f t="shared" si="7"/>
        <v>1794756.431</v>
      </c>
      <c r="J13" s="60">
        <f t="shared" si="8"/>
        <v>548813.7503</v>
      </c>
      <c r="K13" s="60">
        <f t="shared" si="9"/>
        <v>55000</v>
      </c>
    </row>
    <row r="14" ht="22.5" customHeight="1">
      <c r="A14" s="58">
        <f t="shared" ref="A14:C14" si="14">A13 + 1</f>
        <v>7</v>
      </c>
      <c r="B14" s="58">
        <f t="shared" si="14"/>
        <v>52</v>
      </c>
      <c r="C14" s="58">
        <f t="shared" si="14"/>
        <v>53</v>
      </c>
      <c r="D14" s="60">
        <f t="shared" si="3"/>
        <v>0</v>
      </c>
      <c r="E14" s="96">
        <f t="shared" si="4"/>
        <v>115969.3418</v>
      </c>
      <c r="F14" s="96">
        <f t="shared" si="12"/>
        <v>2609.31433</v>
      </c>
      <c r="G14" s="96">
        <f t="shared" si="5"/>
        <v>5566.528407</v>
      </c>
      <c r="H14" s="60">
        <f t="shared" si="6"/>
        <v>124145.1846</v>
      </c>
      <c r="I14" s="60">
        <f t="shared" si="7"/>
        <v>1861539.381</v>
      </c>
      <c r="J14" s="60">
        <f t="shared" si="8"/>
        <v>646080.7129</v>
      </c>
      <c r="K14" s="60">
        <f t="shared" si="9"/>
        <v>55000</v>
      </c>
    </row>
    <row r="15" ht="22.5" customHeight="1">
      <c r="A15" s="58">
        <f t="shared" ref="A15:C15" si="15">A14 + 1</f>
        <v>8</v>
      </c>
      <c r="B15" s="58">
        <f t="shared" si="15"/>
        <v>53</v>
      </c>
      <c r="C15" s="58">
        <f t="shared" si="15"/>
        <v>54</v>
      </c>
      <c r="D15" s="60">
        <f t="shared" si="3"/>
        <v>0</v>
      </c>
      <c r="E15" s="96">
        <f t="shared" si="4"/>
        <v>118868.5754</v>
      </c>
      <c r="F15" s="96">
        <f t="shared" si="12"/>
        <v>2674.547189</v>
      </c>
      <c r="G15" s="96">
        <f t="shared" si="5"/>
        <v>5705.691618</v>
      </c>
      <c r="H15" s="60">
        <f t="shared" si="6"/>
        <v>127248.8142</v>
      </c>
      <c r="I15" s="60">
        <f t="shared" si="7"/>
        <v>1932997.138</v>
      </c>
      <c r="J15" s="60">
        <f t="shared" si="8"/>
        <v>614000.1316</v>
      </c>
      <c r="K15" s="60">
        <f t="shared" si="9"/>
        <v>55000</v>
      </c>
    </row>
    <row r="16" ht="22.5" customHeight="1">
      <c r="A16" s="58">
        <f t="shared" ref="A16:C16" si="16">A15 + 1</f>
        <v>9</v>
      </c>
      <c r="B16" s="58">
        <f t="shared" si="16"/>
        <v>54</v>
      </c>
      <c r="C16" s="58">
        <f t="shared" si="16"/>
        <v>55</v>
      </c>
      <c r="D16" s="60">
        <f>MAX(0, (D15 - (H15 - K15)) * 1.04)</f>
        <v>0</v>
      </c>
      <c r="E16" s="96">
        <f t="shared" si="4"/>
        <v>121840.2898</v>
      </c>
      <c r="F16" s="96">
        <f t="shared" si="12"/>
        <v>2250</v>
      </c>
      <c r="G16" s="96">
        <f t="shared" si="5"/>
        <v>5848.333908</v>
      </c>
      <c r="H16" s="60">
        <f t="shared" si="6"/>
        <v>129938.6237</v>
      </c>
      <c r="I16" s="60">
        <f t="shared" si="7"/>
        <v>2035136.938</v>
      </c>
      <c r="J16" s="60">
        <f t="shared" si="8"/>
        <v>576795.8135</v>
      </c>
      <c r="K16" s="60">
        <f t="shared" si="9"/>
        <v>31000</v>
      </c>
    </row>
    <row r="17" ht="22.5" customHeight="1">
      <c r="A17" s="58">
        <f t="shared" ref="A17:C17" si="17">A16 + 1</f>
        <v>10</v>
      </c>
      <c r="B17" s="58">
        <f t="shared" si="17"/>
        <v>55</v>
      </c>
      <c r="C17" s="58">
        <f t="shared" si="17"/>
        <v>56</v>
      </c>
      <c r="D17" s="60">
        <v>0.0</v>
      </c>
      <c r="E17" s="96">
        <f t="shared" si="4"/>
        <v>124886.297</v>
      </c>
      <c r="F17" s="96">
        <f t="shared" si="12"/>
        <v>2306.25</v>
      </c>
      <c r="G17" s="96">
        <f t="shared" si="5"/>
        <v>5994.542256</v>
      </c>
      <c r="H17" s="60">
        <f t="shared" si="6"/>
        <v>133187.0893</v>
      </c>
      <c r="I17" s="96">
        <f t="shared" ref="I17:I40" si="19">IF(B17&lt;60, (I16-K17)*1.07, (I16 - K17 - (H17 - (24000*(1.025^(C17-55)))))*1.07)</f>
        <v>2144426.523</v>
      </c>
      <c r="J17" s="96">
        <f t="shared" ref="J17:J52" si="20">IF(B17&gt;=60, (J16+K17)*1.07, IF(D16&gt;0, (J16+K17)*1.07, (J16 + K17 - (H17 - IF(C17&gt;=55, 24000*(1.025^(C17-55)), 0)))*1.07))</f>
        <v>534153.3349</v>
      </c>
      <c r="K17" s="60">
        <f t="shared" si="9"/>
        <v>31000</v>
      </c>
    </row>
    <row r="18" ht="22.5" customHeight="1">
      <c r="A18" s="58">
        <f t="shared" ref="A18:C18" si="18">A17 + 1</f>
        <v>11</v>
      </c>
      <c r="B18" s="58">
        <f t="shared" si="18"/>
        <v>56</v>
      </c>
      <c r="C18" s="58">
        <f t="shared" si="18"/>
        <v>57</v>
      </c>
      <c r="D18" s="60">
        <v>0.0</v>
      </c>
      <c r="E18" s="96">
        <f t="shared" si="4"/>
        <v>128008.4544</v>
      </c>
      <c r="F18" s="96">
        <f t="shared" si="12"/>
        <v>2363.90625</v>
      </c>
      <c r="G18" s="96">
        <f t="shared" si="5"/>
        <v>6144.405812</v>
      </c>
      <c r="H18" s="60">
        <f t="shared" si="6"/>
        <v>136516.7665</v>
      </c>
      <c r="I18" s="96">
        <f t="shared" si="19"/>
        <v>2261366.38</v>
      </c>
      <c r="J18" s="96">
        <f t="shared" si="20"/>
        <v>485621.1783</v>
      </c>
      <c r="K18" s="60">
        <f t="shared" si="9"/>
        <v>31000</v>
      </c>
    </row>
    <row r="19" ht="22.5" customHeight="1">
      <c r="A19" s="58">
        <f t="shared" ref="A19:C19" si="21">A18 + 1</f>
        <v>12</v>
      </c>
      <c r="B19" s="58">
        <f t="shared" si="21"/>
        <v>57</v>
      </c>
      <c r="C19" s="58">
        <f t="shared" si="21"/>
        <v>58</v>
      </c>
      <c r="D19" s="60">
        <v>0.0</v>
      </c>
      <c r="E19" s="96">
        <f t="shared" si="4"/>
        <v>131208.6658</v>
      </c>
      <c r="F19" s="96">
        <f t="shared" si="12"/>
        <v>2423.003906</v>
      </c>
      <c r="G19" s="96">
        <f t="shared" si="5"/>
        <v>6298.015957</v>
      </c>
      <c r="H19" s="60">
        <f t="shared" si="6"/>
        <v>139929.6856</v>
      </c>
      <c r="I19" s="96">
        <f t="shared" si="19"/>
        <v>2386492.026</v>
      </c>
      <c r="J19" s="96">
        <f t="shared" si="20"/>
        <v>430714.4483</v>
      </c>
      <c r="K19" s="60">
        <f t="shared" si="9"/>
        <v>31000</v>
      </c>
    </row>
    <row r="20" ht="22.5" customHeight="1">
      <c r="A20" s="58">
        <f t="shared" ref="A20:C20" si="22">A19 + 1</f>
        <v>13</v>
      </c>
      <c r="B20" s="58">
        <f t="shared" si="22"/>
        <v>58</v>
      </c>
      <c r="C20" s="58">
        <f t="shared" si="22"/>
        <v>59</v>
      </c>
      <c r="D20" s="60">
        <v>0.0</v>
      </c>
      <c r="E20" s="96">
        <f t="shared" si="4"/>
        <v>134488.8824</v>
      </c>
      <c r="F20" s="96">
        <f t="shared" si="12"/>
        <v>2483.579004</v>
      </c>
      <c r="G20" s="96">
        <f t="shared" si="5"/>
        <v>6455.466356</v>
      </c>
      <c r="H20" s="60">
        <f t="shared" si="6"/>
        <v>143427.9278</v>
      </c>
      <c r="I20" s="96">
        <f t="shared" si="19"/>
        <v>2520376.468</v>
      </c>
      <c r="J20" s="96">
        <f t="shared" si="20"/>
        <v>368912.492</v>
      </c>
      <c r="K20" s="60">
        <f t="shared" si="9"/>
        <v>31000</v>
      </c>
    </row>
    <row r="21" ht="22.5" customHeight="1">
      <c r="A21" s="58">
        <f t="shared" ref="A21:C21" si="23">A20 + 1</f>
        <v>14</v>
      </c>
      <c r="B21" s="58">
        <f t="shared" si="23"/>
        <v>59</v>
      </c>
      <c r="C21" s="58">
        <f t="shared" si="23"/>
        <v>60</v>
      </c>
      <c r="D21" s="60">
        <v>0.0</v>
      </c>
      <c r="E21" s="96">
        <f t="shared" si="4"/>
        <v>137851.1045</v>
      </c>
      <c r="F21" s="96">
        <f t="shared" si="12"/>
        <v>2545.668479</v>
      </c>
      <c r="G21" s="96">
        <f t="shared" si="5"/>
        <v>6616.853015</v>
      </c>
      <c r="H21" s="60">
        <f t="shared" si="6"/>
        <v>147013.626</v>
      </c>
      <c r="I21" s="96">
        <f t="shared" si="19"/>
        <v>2663632.821</v>
      </c>
      <c r="J21" s="96">
        <f t="shared" si="20"/>
        <v>299656.3496</v>
      </c>
      <c r="K21" s="60">
        <f t="shared" si="9"/>
        <v>31000</v>
      </c>
      <c r="M21" s="24">
        <v>299656.0</v>
      </c>
    </row>
    <row r="22" ht="22.5" customHeight="1">
      <c r="A22" s="58">
        <f t="shared" ref="A22:C22" si="24">A21 + 1</f>
        <v>15</v>
      </c>
      <c r="B22" s="58">
        <f t="shared" si="24"/>
        <v>60</v>
      </c>
      <c r="C22" s="58">
        <f t="shared" si="24"/>
        <v>61</v>
      </c>
      <c r="D22" s="60">
        <v>0.0</v>
      </c>
      <c r="E22" s="96">
        <f t="shared" si="4"/>
        <v>141297.3821</v>
      </c>
      <c r="F22" s="96">
        <f t="shared" si="12"/>
        <v>2609.310191</v>
      </c>
      <c r="G22" s="96">
        <f t="shared" si="5"/>
        <v>6782.274341</v>
      </c>
      <c r="H22" s="60">
        <f t="shared" si="6"/>
        <v>150688.9666</v>
      </c>
      <c r="I22" s="96">
        <f t="shared" si="19"/>
        <v>2685460.851</v>
      </c>
      <c r="J22" s="96">
        <f t="shared" si="20"/>
        <v>353802.2941</v>
      </c>
      <c r="K22" s="60">
        <f t="shared" si="9"/>
        <v>31000</v>
      </c>
    </row>
    <row r="23" ht="22.5" customHeight="1">
      <c r="A23" s="116">
        <f t="shared" ref="A23:C23" si="25">A22 + 1</f>
        <v>16</v>
      </c>
      <c r="B23" s="116">
        <f t="shared" si="25"/>
        <v>61</v>
      </c>
      <c r="C23" s="116">
        <f t="shared" si="25"/>
        <v>62</v>
      </c>
      <c r="D23" s="117">
        <v>0.0</v>
      </c>
      <c r="E23" s="96">
        <f t="shared" si="4"/>
        <v>144829.8166</v>
      </c>
      <c r="F23" s="96">
        <f t="shared" si="12"/>
        <v>2674.542946</v>
      </c>
      <c r="G23" s="96">
        <f t="shared" si="5"/>
        <v>6951.831199</v>
      </c>
      <c r="H23" s="60">
        <f t="shared" si="6"/>
        <v>154456.1908</v>
      </c>
      <c r="I23" s="96">
        <f t="shared" si="19"/>
        <v>2705530.437</v>
      </c>
      <c r="J23" s="96">
        <f t="shared" si="20"/>
        <v>411738.4546</v>
      </c>
      <c r="K23" s="117">
        <f t="shared" si="9"/>
        <v>31000</v>
      </c>
    </row>
    <row r="24" ht="22.5" customHeight="1">
      <c r="A24" s="58">
        <f t="shared" ref="A24:C24" si="26">A23 + 1</f>
        <v>17</v>
      </c>
      <c r="B24" s="58">
        <f t="shared" si="26"/>
        <v>62</v>
      </c>
      <c r="C24" s="58">
        <f t="shared" si="26"/>
        <v>63</v>
      </c>
      <c r="D24" s="60">
        <v>0.0</v>
      </c>
      <c r="E24" s="96">
        <f t="shared" si="4"/>
        <v>148450.5621</v>
      </c>
      <c r="F24" s="96">
        <f t="shared" si="12"/>
        <v>2741.406519</v>
      </c>
      <c r="G24" s="96">
        <f t="shared" si="5"/>
        <v>7125.626979</v>
      </c>
      <c r="H24" s="60">
        <f t="shared" si="6"/>
        <v>158317.5956</v>
      </c>
      <c r="I24" s="96">
        <f t="shared" si="19"/>
        <v>2723636.327</v>
      </c>
      <c r="J24" s="96">
        <f t="shared" si="20"/>
        <v>473730.1465</v>
      </c>
      <c r="K24" s="60">
        <f t="shared" si="9"/>
        <v>31000</v>
      </c>
    </row>
    <row r="25" ht="22.5" customHeight="1">
      <c r="A25" s="116">
        <f t="shared" ref="A25:C25" si="27">A24 + 1</f>
        <v>18</v>
      </c>
      <c r="B25" s="116">
        <f t="shared" si="27"/>
        <v>63</v>
      </c>
      <c r="C25" s="116">
        <f t="shared" si="27"/>
        <v>64</v>
      </c>
      <c r="D25" s="117">
        <v>0.0</v>
      </c>
      <c r="E25" s="96">
        <f t="shared" si="4"/>
        <v>152161.8261</v>
      </c>
      <c r="F25" s="96">
        <f t="shared" si="12"/>
        <v>2809.941682</v>
      </c>
      <c r="G25" s="96">
        <f t="shared" si="5"/>
        <v>7303.767654</v>
      </c>
      <c r="H25" s="60">
        <f t="shared" si="6"/>
        <v>162275.5355</v>
      </c>
      <c r="I25" s="96">
        <f t="shared" si="19"/>
        <v>2739556.848</v>
      </c>
      <c r="J25" s="96">
        <f t="shared" si="20"/>
        <v>540061.2567</v>
      </c>
      <c r="K25" s="117">
        <f t="shared" si="9"/>
        <v>31000</v>
      </c>
    </row>
    <row r="26" ht="22.5" customHeight="1">
      <c r="A26" s="58">
        <f t="shared" ref="A26:C26" si="28">A25 + 1</f>
        <v>19</v>
      </c>
      <c r="B26" s="58">
        <f t="shared" si="28"/>
        <v>64</v>
      </c>
      <c r="C26" s="58">
        <f t="shared" si="28"/>
        <v>65</v>
      </c>
      <c r="D26" s="60">
        <v>0.0</v>
      </c>
      <c r="E26" s="96">
        <f t="shared" si="4"/>
        <v>155965.8718</v>
      </c>
      <c r="F26" s="96">
        <f t="shared" si="12"/>
        <v>2880.190224</v>
      </c>
      <c r="G26" s="96">
        <f t="shared" si="5"/>
        <v>7486.361845</v>
      </c>
      <c r="H26" s="60">
        <f t="shared" si="6"/>
        <v>166332.4238</v>
      </c>
      <c r="I26" s="96">
        <f t="shared" si="19"/>
        <v>2753052.704</v>
      </c>
      <c r="J26" s="96">
        <f t="shared" si="20"/>
        <v>611035.5447</v>
      </c>
      <c r="K26" s="60">
        <f t="shared" si="9"/>
        <v>31000</v>
      </c>
    </row>
    <row r="27" ht="22.5" customHeight="1">
      <c r="A27" s="116">
        <f t="shared" ref="A27:C27" si="29">A26 + 1</f>
        <v>20</v>
      </c>
      <c r="B27" s="116">
        <f t="shared" si="29"/>
        <v>65</v>
      </c>
      <c r="C27" s="116">
        <f t="shared" si="29"/>
        <v>66</v>
      </c>
      <c r="D27" s="117">
        <v>0.0</v>
      </c>
      <c r="E27" s="96">
        <f t="shared" si="4"/>
        <v>159865.0186</v>
      </c>
      <c r="F27" s="96">
        <f t="shared" si="12"/>
        <v>2952.19498</v>
      </c>
      <c r="G27" s="96">
        <f t="shared" si="5"/>
        <v>7673.520891</v>
      </c>
      <c r="H27" s="60">
        <f t="shared" si="6"/>
        <v>170490.7344</v>
      </c>
      <c r="I27" s="96">
        <f t="shared" si="19"/>
        <v>2763865.693</v>
      </c>
      <c r="J27" s="96">
        <f t="shared" si="20"/>
        <v>686978.0328</v>
      </c>
      <c r="K27" s="117">
        <f t="shared" si="9"/>
        <v>31000</v>
      </c>
    </row>
    <row r="28" ht="22.5" customHeight="1">
      <c r="A28" s="58">
        <f t="shared" ref="A28:C28" si="30">A27 + 1</f>
        <v>21</v>
      </c>
      <c r="B28" s="58">
        <f t="shared" si="30"/>
        <v>66</v>
      </c>
      <c r="C28" s="58">
        <f t="shared" si="30"/>
        <v>67</v>
      </c>
      <c r="D28" s="60">
        <v>0.0</v>
      </c>
      <c r="E28" s="96">
        <f t="shared" si="4"/>
        <v>163861.644</v>
      </c>
      <c r="F28" s="96">
        <f t="shared" si="12"/>
        <v>34000</v>
      </c>
      <c r="G28" s="96">
        <f t="shared" si="5"/>
        <v>4500</v>
      </c>
      <c r="H28" s="60">
        <f t="shared" si="6"/>
        <v>202361.644</v>
      </c>
      <c r="I28" s="96">
        <f t="shared" si="19"/>
        <v>2646946.078</v>
      </c>
      <c r="J28" s="96">
        <f t="shared" si="20"/>
        <v>863466.4951</v>
      </c>
      <c r="K28" s="60">
        <f t="shared" si="9"/>
        <v>120000</v>
      </c>
    </row>
    <row r="29" ht="22.5" customHeight="1">
      <c r="A29" s="116">
        <f t="shared" ref="A29:C29" si="31">A28 + 1</f>
        <v>22</v>
      </c>
      <c r="B29" s="116">
        <f t="shared" si="31"/>
        <v>67</v>
      </c>
      <c r="C29" s="116">
        <f t="shared" si="31"/>
        <v>68</v>
      </c>
      <c r="D29" s="117">
        <v>0.0</v>
      </c>
      <c r="E29" s="96">
        <f t="shared" si="4"/>
        <v>167958.1851</v>
      </c>
      <c r="F29" s="96">
        <f t="shared" si="12"/>
        <v>34850</v>
      </c>
      <c r="G29" s="96">
        <f t="shared" si="5"/>
        <v>4612.5</v>
      </c>
      <c r="H29" s="60">
        <f t="shared" si="6"/>
        <v>207420.6851</v>
      </c>
      <c r="I29" s="96">
        <f t="shared" si="19"/>
        <v>2517292.334</v>
      </c>
      <c r="J29" s="96">
        <f t="shared" si="20"/>
        <v>1052309.15</v>
      </c>
      <c r="K29" s="117">
        <f t="shared" si="9"/>
        <v>120000</v>
      </c>
      <c r="N29" s="59">
        <f>sum(N30:N1021)</f>
        <v>0</v>
      </c>
    </row>
    <row r="30" ht="22.5" customHeight="1">
      <c r="A30" s="58">
        <f t="shared" ref="A30:C30" si="32">A29 + 1</f>
        <v>23</v>
      </c>
      <c r="B30" s="58">
        <f t="shared" si="32"/>
        <v>68</v>
      </c>
      <c r="C30" s="58">
        <f t="shared" si="32"/>
        <v>69</v>
      </c>
      <c r="D30" s="60">
        <v>0.0</v>
      </c>
      <c r="E30" s="96">
        <f t="shared" si="4"/>
        <v>172157.1398</v>
      </c>
      <c r="F30" s="96">
        <f t="shared" si="12"/>
        <v>35721.25</v>
      </c>
      <c r="G30" s="96">
        <f t="shared" si="5"/>
        <v>4727.8125</v>
      </c>
      <c r="H30" s="60">
        <f t="shared" si="6"/>
        <v>212606.2023</v>
      </c>
      <c r="I30" s="96">
        <f t="shared" si="19"/>
        <v>2373899.328</v>
      </c>
      <c r="J30" s="96">
        <f t="shared" si="20"/>
        <v>1254370.79</v>
      </c>
      <c r="K30" s="60">
        <f t="shared" si="9"/>
        <v>120000</v>
      </c>
    </row>
    <row r="31" ht="22.5" customHeight="1">
      <c r="A31" s="116">
        <f t="shared" ref="A31:C31" si="33">A30 + 1</f>
        <v>24</v>
      </c>
      <c r="B31" s="116">
        <f t="shared" si="33"/>
        <v>69</v>
      </c>
      <c r="C31" s="116">
        <f t="shared" si="33"/>
        <v>70</v>
      </c>
      <c r="D31" s="117">
        <v>0.0</v>
      </c>
      <c r="E31" s="96">
        <f t="shared" si="4"/>
        <v>176461.0683</v>
      </c>
      <c r="F31" s="96">
        <f t="shared" si="12"/>
        <v>36614.28125</v>
      </c>
      <c r="G31" s="96">
        <f t="shared" si="5"/>
        <v>4846.007813</v>
      </c>
      <c r="H31" s="60">
        <f t="shared" si="6"/>
        <v>217921.3573</v>
      </c>
      <c r="I31" s="96">
        <f t="shared" si="19"/>
        <v>2215688.726</v>
      </c>
      <c r="J31" s="96">
        <f t="shared" si="20"/>
        <v>1470576.746</v>
      </c>
      <c r="K31" s="117">
        <f t="shared" si="9"/>
        <v>120000</v>
      </c>
    </row>
    <row r="32" ht="22.5" customHeight="1">
      <c r="A32" s="58">
        <f t="shared" ref="A32:C32" si="34">A31 + 1</f>
        <v>25</v>
      </c>
      <c r="B32" s="58">
        <f t="shared" si="34"/>
        <v>70</v>
      </c>
      <c r="C32" s="58">
        <f t="shared" si="34"/>
        <v>71</v>
      </c>
      <c r="D32" s="60">
        <v>0.0</v>
      </c>
      <c r="E32" s="96">
        <f t="shared" si="4"/>
        <v>180872.595</v>
      </c>
      <c r="F32" s="96">
        <f t="shared" si="12"/>
        <v>37529.63828</v>
      </c>
      <c r="G32" s="96">
        <f t="shared" si="5"/>
        <v>4967.158008</v>
      </c>
      <c r="H32" s="60">
        <f t="shared" si="6"/>
        <v>223369.3912</v>
      </c>
      <c r="I32" s="96">
        <f t="shared" si="19"/>
        <v>2041503.792</v>
      </c>
      <c r="J32" s="96">
        <f t="shared" si="20"/>
        <v>1701917.118</v>
      </c>
      <c r="K32" s="60">
        <f t="shared" si="9"/>
        <v>120000</v>
      </c>
    </row>
    <row r="33" ht="22.5" customHeight="1">
      <c r="A33" s="116">
        <f t="shared" ref="A33:C33" si="35">A32 + 1</f>
        <v>26</v>
      </c>
      <c r="B33" s="116">
        <f t="shared" si="35"/>
        <v>71</v>
      </c>
      <c r="C33" s="116">
        <f t="shared" si="35"/>
        <v>72</v>
      </c>
      <c r="D33" s="117">
        <v>0.0</v>
      </c>
      <c r="E33" s="96">
        <f t="shared" si="4"/>
        <v>185394.4098</v>
      </c>
      <c r="F33" s="96">
        <f t="shared" si="12"/>
        <v>38467.87924</v>
      </c>
      <c r="G33" s="96">
        <f t="shared" si="5"/>
        <v>5091.336958</v>
      </c>
      <c r="H33" s="60">
        <f t="shared" si="6"/>
        <v>228953.626</v>
      </c>
      <c r="I33" s="96">
        <f t="shared" si="19"/>
        <v>1850103.835</v>
      </c>
      <c r="J33" s="96">
        <f t="shared" si="20"/>
        <v>1949451.316</v>
      </c>
      <c r="K33" s="117">
        <f t="shared" si="9"/>
        <v>120000</v>
      </c>
    </row>
    <row r="34" ht="22.5" customHeight="1">
      <c r="A34" s="58">
        <f t="shared" ref="A34:C34" si="36">A33 + 1</f>
        <v>27</v>
      </c>
      <c r="B34" s="58">
        <f t="shared" si="36"/>
        <v>72</v>
      </c>
      <c r="C34" s="58">
        <f t="shared" si="36"/>
        <v>73</v>
      </c>
      <c r="D34" s="60">
        <v>0.0</v>
      </c>
      <c r="E34" s="96">
        <f t="shared" si="4"/>
        <v>190029.2701</v>
      </c>
      <c r="F34" s="96">
        <f t="shared" si="12"/>
        <v>39429.57622</v>
      </c>
      <c r="G34" s="96">
        <f t="shared" si="5"/>
        <v>5218.620382</v>
      </c>
      <c r="H34" s="60">
        <f t="shared" si="6"/>
        <v>234677.4667</v>
      </c>
      <c r="I34" s="96">
        <f t="shared" si="19"/>
        <v>1640158.25</v>
      </c>
      <c r="J34" s="96">
        <f t="shared" si="20"/>
        <v>2214312.908</v>
      </c>
      <c r="K34" s="60">
        <f t="shared" si="9"/>
        <v>120000</v>
      </c>
    </row>
    <row r="35" ht="22.5" customHeight="1">
      <c r="A35" s="116">
        <f t="shared" ref="A35:C35" si="37">A34 + 1</f>
        <v>28</v>
      </c>
      <c r="B35" s="116">
        <f t="shared" si="37"/>
        <v>73</v>
      </c>
      <c r="C35" s="116">
        <f t="shared" si="37"/>
        <v>74</v>
      </c>
      <c r="D35" s="117">
        <v>0.0</v>
      </c>
      <c r="E35" s="96">
        <f t="shared" si="4"/>
        <v>194780.0018</v>
      </c>
      <c r="F35" s="96">
        <f t="shared" si="12"/>
        <v>40415.31562</v>
      </c>
      <c r="G35" s="96">
        <f t="shared" si="5"/>
        <v>5349.085892</v>
      </c>
      <c r="H35" s="60">
        <f t="shared" si="6"/>
        <v>240544.4033</v>
      </c>
      <c r="I35" s="96">
        <f t="shared" si="19"/>
        <v>1410240.153</v>
      </c>
      <c r="J35" s="96">
        <f t="shared" si="20"/>
        <v>2497714.812</v>
      </c>
      <c r="K35" s="117">
        <f t="shared" si="9"/>
        <v>120000</v>
      </c>
    </row>
    <row r="36" ht="22.5" customHeight="1">
      <c r="A36" s="58">
        <f t="shared" ref="A36:C36" si="38">A35 + 1</f>
        <v>29</v>
      </c>
      <c r="B36" s="58">
        <f t="shared" si="38"/>
        <v>74</v>
      </c>
      <c r="C36" s="58">
        <f t="shared" si="38"/>
        <v>75</v>
      </c>
      <c r="D36" s="60">
        <v>0.0</v>
      </c>
      <c r="E36" s="96">
        <f t="shared" si="4"/>
        <v>199649.5019</v>
      </c>
      <c r="F36" s="96">
        <f t="shared" si="12"/>
        <v>41425.69852</v>
      </c>
      <c r="G36" s="96">
        <f t="shared" si="5"/>
        <v>5482.813039</v>
      </c>
      <c r="H36" s="60">
        <f t="shared" si="6"/>
        <v>246558.0134</v>
      </c>
      <c r="I36" s="96">
        <f t="shared" si="19"/>
        <v>1158819.559</v>
      </c>
      <c r="J36" s="96">
        <f t="shared" si="20"/>
        <v>2800954.849</v>
      </c>
      <c r="K36" s="60">
        <f t="shared" si="9"/>
        <v>120000</v>
      </c>
    </row>
    <row r="37" ht="22.5" customHeight="1">
      <c r="A37" s="116">
        <f t="shared" ref="A37:C37" si="39">A36 + 1</f>
        <v>30</v>
      </c>
      <c r="B37" s="116">
        <f t="shared" si="39"/>
        <v>75</v>
      </c>
      <c r="C37" s="116">
        <f t="shared" si="39"/>
        <v>76</v>
      </c>
      <c r="D37" s="117">
        <v>0.0</v>
      </c>
      <c r="E37" s="96">
        <f t="shared" si="4"/>
        <v>204640.7394</v>
      </c>
      <c r="F37" s="96">
        <f t="shared" si="12"/>
        <v>42461.34098</v>
      </c>
      <c r="G37" s="96">
        <f t="shared" si="5"/>
        <v>5619.883365</v>
      </c>
      <c r="H37" s="60">
        <f t="shared" si="6"/>
        <v>252721.9638</v>
      </c>
      <c r="I37" s="96">
        <f t="shared" si="19"/>
        <v>884256.0891</v>
      </c>
      <c r="J37" s="96">
        <f t="shared" si="20"/>
        <v>3125421.688</v>
      </c>
      <c r="K37" s="117">
        <f t="shared" si="9"/>
        <v>120000</v>
      </c>
    </row>
    <row r="38" ht="22.5" customHeight="1">
      <c r="A38" s="116">
        <f t="shared" ref="A38:C38" si="40">A37 + 1</f>
        <v>31</v>
      </c>
      <c r="B38" s="116">
        <f t="shared" si="40"/>
        <v>76</v>
      </c>
      <c r="C38" s="116">
        <f t="shared" si="40"/>
        <v>77</v>
      </c>
      <c r="D38" s="117"/>
      <c r="E38" s="96">
        <f t="shared" si="4"/>
        <v>209756.7579</v>
      </c>
      <c r="F38" s="96">
        <f t="shared" si="12"/>
        <v>43522.8745</v>
      </c>
      <c r="G38" s="96">
        <f t="shared" si="5"/>
        <v>5760.380449</v>
      </c>
      <c r="H38" s="60">
        <f t="shared" si="6"/>
        <v>259040.0129</v>
      </c>
      <c r="I38" s="96">
        <f t="shared" si="19"/>
        <v>584791.155</v>
      </c>
      <c r="J38" s="96">
        <f t="shared" si="20"/>
        <v>3472601.206</v>
      </c>
      <c r="K38" s="117">
        <f t="shared" si="9"/>
        <v>120000</v>
      </c>
    </row>
    <row r="39" ht="22.5" customHeight="1">
      <c r="A39" s="116">
        <f t="shared" ref="A39:C39" si="41">A38 + 1</f>
        <v>32</v>
      </c>
      <c r="B39" s="116">
        <f t="shared" si="41"/>
        <v>77</v>
      </c>
      <c r="C39" s="116">
        <f t="shared" si="41"/>
        <v>78</v>
      </c>
      <c r="D39" s="117"/>
      <c r="E39" s="96">
        <f t="shared" si="4"/>
        <v>215000.6769</v>
      </c>
      <c r="F39" s="96">
        <f t="shared" si="12"/>
        <v>44610.94637</v>
      </c>
      <c r="G39" s="96">
        <f t="shared" si="5"/>
        <v>5904.38996</v>
      </c>
      <c r="H39" s="60">
        <f t="shared" si="6"/>
        <v>265516.0132</v>
      </c>
      <c r="I39" s="96">
        <f t="shared" si="19"/>
        <v>258539.6041</v>
      </c>
      <c r="J39" s="96">
        <f t="shared" si="20"/>
        <v>3844083.29</v>
      </c>
      <c r="K39" s="117">
        <f t="shared" si="9"/>
        <v>120000</v>
      </c>
    </row>
    <row r="40" ht="22.5" customHeight="1">
      <c r="A40" s="116">
        <f t="shared" ref="A40:C40" si="42">A39 + 1</f>
        <v>33</v>
      </c>
      <c r="B40" s="116">
        <f t="shared" si="42"/>
        <v>78</v>
      </c>
      <c r="C40" s="116">
        <f t="shared" si="42"/>
        <v>79</v>
      </c>
      <c r="D40" s="117"/>
      <c r="E40" s="96">
        <f t="shared" si="4"/>
        <v>220375.6938</v>
      </c>
      <c r="F40" s="96">
        <f t="shared" si="12"/>
        <v>45726.22002</v>
      </c>
      <c r="G40" s="96">
        <f t="shared" si="5"/>
        <v>6051.999709</v>
      </c>
      <c r="H40" s="60">
        <f t="shared" si="6"/>
        <v>272153.9135</v>
      </c>
      <c r="I40" s="96">
        <f t="shared" si="19"/>
        <v>31880.77131</v>
      </c>
      <c r="J40" s="96">
        <f t="shared" si="20"/>
        <v>4113169.121</v>
      </c>
      <c r="K40" s="117"/>
    </row>
    <row r="41" ht="22.5" customHeight="1">
      <c r="A41" s="116">
        <f t="shared" ref="A41:C41" si="43">A40 + 1</f>
        <v>34</v>
      </c>
      <c r="B41" s="116">
        <f t="shared" si="43"/>
        <v>79</v>
      </c>
      <c r="C41" s="116">
        <f t="shared" si="43"/>
        <v>80</v>
      </c>
      <c r="D41" s="117"/>
      <c r="E41" s="96">
        <f t="shared" si="4"/>
        <v>225885.0861</v>
      </c>
      <c r="F41" s="96">
        <f t="shared" si="12"/>
        <v>46869.37552</v>
      </c>
      <c r="G41" s="96">
        <f t="shared" si="5"/>
        <v>6203.299702</v>
      </c>
      <c r="H41" s="60">
        <f t="shared" si="6"/>
        <v>278957.7613</v>
      </c>
      <c r="I41" s="96"/>
      <c r="J41" s="96">
        <f t="shared" si="20"/>
        <v>4401090.959</v>
      </c>
      <c r="K41" s="117"/>
    </row>
    <row r="42" ht="22.5" customHeight="1">
      <c r="A42" s="116">
        <f t="shared" ref="A42:C42" si="44">A41 + 1</f>
        <v>35</v>
      </c>
      <c r="B42" s="116">
        <f t="shared" si="44"/>
        <v>80</v>
      </c>
      <c r="C42" s="116">
        <f t="shared" si="44"/>
        <v>81</v>
      </c>
      <c r="D42" s="117"/>
      <c r="E42" s="96">
        <f t="shared" si="4"/>
        <v>231532.2133</v>
      </c>
      <c r="F42" s="96">
        <f t="shared" si="12"/>
        <v>48041.10991</v>
      </c>
      <c r="G42" s="96">
        <f t="shared" si="5"/>
        <v>6358.382194</v>
      </c>
      <c r="H42" s="60">
        <f t="shared" si="6"/>
        <v>285931.7054</v>
      </c>
      <c r="I42" s="96"/>
      <c r="J42" s="96">
        <f t="shared" si="20"/>
        <v>4709167.326</v>
      </c>
      <c r="K42" s="117"/>
    </row>
    <row r="43" ht="22.5" customHeight="1">
      <c r="A43" s="116">
        <f t="shared" ref="A43:C43" si="45">A42 + 1</f>
        <v>36</v>
      </c>
      <c r="B43" s="116">
        <f t="shared" si="45"/>
        <v>81</v>
      </c>
      <c r="C43" s="116">
        <f t="shared" si="45"/>
        <v>82</v>
      </c>
      <c r="D43" s="117"/>
      <c r="E43" s="96">
        <f t="shared" si="4"/>
        <v>237320.5186</v>
      </c>
      <c r="F43" s="96">
        <f t="shared" si="12"/>
        <v>49242.13766</v>
      </c>
      <c r="G43" s="96">
        <f t="shared" si="5"/>
        <v>6517.341749</v>
      </c>
      <c r="H43" s="60">
        <f t="shared" si="6"/>
        <v>293079.998</v>
      </c>
      <c r="I43" s="96"/>
      <c r="J43" s="96">
        <f t="shared" si="20"/>
        <v>5038809.039</v>
      </c>
      <c r="K43" s="117"/>
    </row>
    <row r="44" ht="22.5" customHeight="1">
      <c r="A44" s="116">
        <f t="shared" ref="A44:C44" si="46">A43 + 1</f>
        <v>37</v>
      </c>
      <c r="B44" s="116">
        <f t="shared" si="46"/>
        <v>82</v>
      </c>
      <c r="C44" s="116">
        <f t="shared" si="46"/>
        <v>83</v>
      </c>
      <c r="D44" s="117"/>
      <c r="E44" s="96">
        <f t="shared" si="4"/>
        <v>243253.5316</v>
      </c>
      <c r="F44" s="96">
        <f t="shared" si="12"/>
        <v>50473.1911</v>
      </c>
      <c r="G44" s="96">
        <f t="shared" si="5"/>
        <v>6680.275293</v>
      </c>
      <c r="H44" s="60">
        <f t="shared" si="6"/>
        <v>300406.998</v>
      </c>
      <c r="I44" s="96"/>
      <c r="J44" s="96">
        <f t="shared" si="20"/>
        <v>5391525.672</v>
      </c>
      <c r="K44" s="117"/>
    </row>
    <row r="45" ht="22.5" customHeight="1">
      <c r="A45" s="116">
        <f t="shared" ref="A45:C45" si="47">A44 + 1</f>
        <v>38</v>
      </c>
      <c r="B45" s="116">
        <f t="shared" si="47"/>
        <v>83</v>
      </c>
      <c r="C45" s="116">
        <f t="shared" si="47"/>
        <v>84</v>
      </c>
      <c r="D45" s="117"/>
      <c r="E45" s="96">
        <f t="shared" si="4"/>
        <v>249334.8699</v>
      </c>
      <c r="F45" s="96">
        <f t="shared" si="12"/>
        <v>51735.02088</v>
      </c>
      <c r="G45" s="96">
        <f t="shared" si="5"/>
        <v>6847.282175</v>
      </c>
      <c r="H45" s="60">
        <f t="shared" si="6"/>
        <v>307917.1729</v>
      </c>
      <c r="I45" s="96"/>
      <c r="J45" s="96">
        <f t="shared" si="20"/>
        <v>5768932.469</v>
      </c>
      <c r="K45" s="117"/>
    </row>
    <row r="46" ht="22.5" customHeight="1">
      <c r="A46" s="116">
        <f t="shared" ref="A46:C46" si="48">A45 + 1</f>
        <v>39</v>
      </c>
      <c r="B46" s="116">
        <f t="shared" si="48"/>
        <v>84</v>
      </c>
      <c r="C46" s="116">
        <f t="shared" si="48"/>
        <v>85</v>
      </c>
      <c r="D46" s="117"/>
      <c r="E46" s="96">
        <f t="shared" si="4"/>
        <v>255568.2416</v>
      </c>
      <c r="F46" s="96">
        <f t="shared" si="12"/>
        <v>53028.3964</v>
      </c>
      <c r="G46" s="96">
        <f t="shared" si="5"/>
        <v>7018.46423</v>
      </c>
      <c r="H46" s="60">
        <f t="shared" si="6"/>
        <v>315615.1022</v>
      </c>
      <c r="I46" s="96"/>
      <c r="J46" s="96">
        <f t="shared" si="20"/>
        <v>6172757.742</v>
      </c>
      <c r="K46" s="117"/>
    </row>
    <row r="47" ht="22.5" customHeight="1">
      <c r="A47" s="116">
        <f t="shared" ref="A47:C47" si="49">A46 + 1</f>
        <v>40</v>
      </c>
      <c r="B47" s="116">
        <f t="shared" si="49"/>
        <v>85</v>
      </c>
      <c r="C47" s="116">
        <f t="shared" si="49"/>
        <v>86</v>
      </c>
      <c r="D47" s="117"/>
      <c r="E47" s="96">
        <f t="shared" si="4"/>
        <v>261957.4476</v>
      </c>
      <c r="F47" s="96">
        <f t="shared" si="12"/>
        <v>54354.10631</v>
      </c>
      <c r="G47" s="96">
        <f t="shared" si="5"/>
        <v>7193.925835</v>
      </c>
      <c r="H47" s="60">
        <f t="shared" si="6"/>
        <v>323505.4798</v>
      </c>
      <c r="I47" s="96"/>
      <c r="J47" s="96">
        <f t="shared" si="20"/>
        <v>6604850.784</v>
      </c>
      <c r="K47" s="117"/>
    </row>
    <row r="48" ht="22.5" customHeight="1">
      <c r="A48" s="116">
        <f t="shared" ref="A48:C48" si="50">A47 + 1</f>
        <v>41</v>
      </c>
      <c r="B48" s="116">
        <f t="shared" si="50"/>
        <v>86</v>
      </c>
      <c r="C48" s="116">
        <f t="shared" si="50"/>
        <v>87</v>
      </c>
      <c r="D48" s="117"/>
      <c r="E48" s="96">
        <f t="shared" si="4"/>
        <v>268506.3838</v>
      </c>
      <c r="F48" s="96">
        <f t="shared" si="12"/>
        <v>55712.95897</v>
      </c>
      <c r="G48" s="96">
        <f t="shared" si="5"/>
        <v>7373.773981</v>
      </c>
      <c r="H48" s="60">
        <f t="shared" si="6"/>
        <v>331593.1168</v>
      </c>
      <c r="I48" s="96"/>
      <c r="J48" s="96">
        <f t="shared" si="20"/>
        <v>7067190.339</v>
      </c>
      <c r="K48" s="117"/>
    </row>
    <row r="49" ht="22.5" customHeight="1">
      <c r="A49" s="116">
        <f t="shared" ref="A49:C49" si="51">A48 + 1</f>
        <v>42</v>
      </c>
      <c r="B49" s="116">
        <f t="shared" si="51"/>
        <v>87</v>
      </c>
      <c r="C49" s="116">
        <f t="shared" si="51"/>
        <v>88</v>
      </c>
      <c r="D49" s="117"/>
      <c r="E49" s="96">
        <f t="shared" si="4"/>
        <v>275219.0434</v>
      </c>
      <c r="F49" s="96">
        <f t="shared" si="12"/>
        <v>57105.78294</v>
      </c>
      <c r="G49" s="96">
        <f t="shared" si="5"/>
        <v>7558.118331</v>
      </c>
      <c r="H49" s="60">
        <f t="shared" si="6"/>
        <v>339882.9447</v>
      </c>
      <c r="I49" s="96"/>
      <c r="J49" s="96">
        <f t="shared" si="20"/>
        <v>7561893.662</v>
      </c>
      <c r="K49" s="117"/>
    </row>
    <row r="50" ht="22.5" customHeight="1">
      <c r="A50" s="116">
        <f t="shared" ref="A50:C50" si="52">A49 + 1</f>
        <v>43</v>
      </c>
      <c r="B50" s="116">
        <f t="shared" si="52"/>
        <v>88</v>
      </c>
      <c r="C50" s="116">
        <f t="shared" si="52"/>
        <v>89</v>
      </c>
      <c r="D50" s="117"/>
      <c r="E50" s="96">
        <f t="shared" si="4"/>
        <v>282099.5195</v>
      </c>
      <c r="F50" s="96">
        <f t="shared" si="12"/>
        <v>58533.42752</v>
      </c>
      <c r="G50" s="96">
        <f t="shared" si="5"/>
        <v>7747.071289</v>
      </c>
      <c r="H50" s="60">
        <f t="shared" si="6"/>
        <v>348380.0183</v>
      </c>
      <c r="I50" s="96"/>
      <c r="J50" s="96">
        <f t="shared" si="20"/>
        <v>8091226.219</v>
      </c>
      <c r="K50" s="117"/>
    </row>
    <row r="51" ht="22.5" customHeight="1">
      <c r="A51" s="116">
        <f t="shared" ref="A51:C51" si="53">A50 + 1</f>
        <v>44</v>
      </c>
      <c r="B51" s="116">
        <f t="shared" si="53"/>
        <v>89</v>
      </c>
      <c r="C51" s="116">
        <f t="shared" si="53"/>
        <v>90</v>
      </c>
      <c r="D51" s="117"/>
      <c r="E51" s="96">
        <f t="shared" si="4"/>
        <v>289152.0075</v>
      </c>
      <c r="F51" s="96">
        <f t="shared" si="12"/>
        <v>59996.76321</v>
      </c>
      <c r="G51" s="96">
        <f t="shared" si="5"/>
        <v>7940.748071</v>
      </c>
      <c r="H51" s="60">
        <f t="shared" si="6"/>
        <v>357089.5188</v>
      </c>
      <c r="I51" s="96"/>
      <c r="J51" s="96">
        <f t="shared" si="20"/>
        <v>8657612.054</v>
      </c>
      <c r="K51" s="117"/>
    </row>
    <row r="52" ht="22.5" customHeight="1">
      <c r="A52" s="116">
        <f t="shared" ref="A52:C52" si="54">A51 + 1</f>
        <v>45</v>
      </c>
      <c r="B52" s="116">
        <f t="shared" si="54"/>
        <v>90</v>
      </c>
      <c r="C52" s="116">
        <f t="shared" si="54"/>
        <v>91</v>
      </c>
      <c r="D52" s="117"/>
      <c r="E52" s="96">
        <f t="shared" si="4"/>
        <v>296380.8077</v>
      </c>
      <c r="F52" s="96">
        <f t="shared" si="12"/>
        <v>61496.68229</v>
      </c>
      <c r="G52" s="96">
        <f t="shared" si="5"/>
        <v>8139.266773</v>
      </c>
      <c r="H52" s="60">
        <f t="shared" si="6"/>
        <v>366016.7568</v>
      </c>
      <c r="I52" s="96"/>
      <c r="J52" s="96">
        <f t="shared" si="20"/>
        <v>9263644.898</v>
      </c>
      <c r="K52" s="117"/>
    </row>
    <row r="53" ht="22.5" customHeight="1">
      <c r="A53" s="118" t="s">
        <v>164</v>
      </c>
      <c r="B53" s="119"/>
      <c r="C53" s="119"/>
      <c r="D53" s="120"/>
      <c r="E53" s="120"/>
      <c r="F53" s="120"/>
      <c r="G53" s="120"/>
      <c r="H53" s="120"/>
      <c r="I53" s="121">
        <v>2497368.2</v>
      </c>
      <c r="J53" s="121">
        <v>1590422.74</v>
      </c>
      <c r="K53" s="120"/>
    </row>
    <row r="54" ht="22.5" customHeight="1">
      <c r="A54" s="122" t="s">
        <v>165</v>
      </c>
      <c r="B54" s="123"/>
      <c r="C54" s="123"/>
      <c r="D54" s="124"/>
      <c r="E54" s="124"/>
      <c r="F54" s="124"/>
      <c r="G54" s="124"/>
      <c r="H54" s="124"/>
      <c r="I54" s="125">
        <v>4087790.93</v>
      </c>
      <c r="J54" s="124"/>
      <c r="K54" s="124"/>
    </row>
    <row r="58">
      <c r="A58" s="126" t="s">
        <v>166</v>
      </c>
    </row>
    <row r="59">
      <c r="A59" s="101" t="s">
        <v>167</v>
      </c>
    </row>
    <row r="60">
      <c r="A60" s="127" t="s">
        <v>168</v>
      </c>
    </row>
    <row r="61">
      <c r="A61" s="127" t="s">
        <v>169</v>
      </c>
    </row>
    <row r="62">
      <c r="A62" s="127" t="s">
        <v>170</v>
      </c>
    </row>
    <row r="63">
      <c r="A63" s="127" t="s">
        <v>171</v>
      </c>
    </row>
    <row r="64">
      <c r="A64" s="126" t="s">
        <v>172</v>
      </c>
    </row>
    <row r="65">
      <c r="A65" s="126" t="s">
        <v>173</v>
      </c>
    </row>
    <row r="66">
      <c r="A66" s="101" t="s">
        <v>174</v>
      </c>
    </row>
    <row r="67">
      <c r="A67" s="101" t="s">
        <v>175</v>
      </c>
    </row>
    <row r="68">
      <c r="A68" s="128" t="s">
        <v>176</v>
      </c>
    </row>
    <row r="69">
      <c r="A69" s="101" t="s">
        <v>177</v>
      </c>
    </row>
    <row r="70">
      <c r="A70" s="101" t="s">
        <v>178</v>
      </c>
    </row>
    <row r="71">
      <c r="A71" s="126" t="s">
        <v>179</v>
      </c>
    </row>
    <row r="72">
      <c r="A72" s="101" t="s">
        <v>180</v>
      </c>
    </row>
    <row r="73">
      <c r="A73" s="101" t="s">
        <v>181</v>
      </c>
    </row>
    <row r="74">
      <c r="A74" s="128" t="s">
        <v>176</v>
      </c>
    </row>
    <row r="75">
      <c r="A75" s="128" t="s">
        <v>182</v>
      </c>
    </row>
    <row r="76">
      <c r="A76" s="128" t="s">
        <v>183</v>
      </c>
    </row>
    <row r="77">
      <c r="A77" s="128" t="s">
        <v>184</v>
      </c>
    </row>
    <row r="78">
      <c r="A78" s="101" t="s">
        <v>185</v>
      </c>
    </row>
    <row r="79">
      <c r="A79" s="126" t="s">
        <v>186</v>
      </c>
    </row>
    <row r="80">
      <c r="A80" s="101" t="s">
        <v>187</v>
      </c>
    </row>
    <row r="81">
      <c r="A81" s="101" t="s">
        <v>188</v>
      </c>
    </row>
    <row r="82">
      <c r="A82" s="128" t="s">
        <v>176</v>
      </c>
    </row>
    <row r="83">
      <c r="A83" s="101" t="s">
        <v>189</v>
      </c>
    </row>
    <row r="84">
      <c r="A84" s="101" t="s">
        <v>190</v>
      </c>
    </row>
    <row r="85">
      <c r="A85" s="101" t="s">
        <v>191</v>
      </c>
    </row>
    <row r="86">
      <c r="A86" s="126" t="s">
        <v>192</v>
      </c>
    </row>
    <row r="87">
      <c r="A87" s="101" t="s">
        <v>193</v>
      </c>
    </row>
    <row r="88">
      <c r="A88" s="101" t="s">
        <v>194</v>
      </c>
    </row>
    <row r="89">
      <c r="A89" s="128" t="s">
        <v>176</v>
      </c>
    </row>
    <row r="90">
      <c r="A90" s="101" t="s">
        <v>195</v>
      </c>
    </row>
    <row r="91">
      <c r="A91" s="101" t="s">
        <v>196</v>
      </c>
    </row>
    <row r="92">
      <c r="A92" s="101" t="s">
        <v>197</v>
      </c>
    </row>
  </sheetData>
  <dataValidations>
    <dataValidation type="custom" allowBlank="1" showDropDown="1" sqref="A8:K54">
      <formula1>AND(ISNUMBER(A8),(NOT(OR(NOT(ISERROR(DATEVALUE(A8))), AND(ISNUMBER(A8), LEFT(CELL("format", A8))="D")))))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57"/>
    <col customWidth="1" min="2" max="2" width="19.57"/>
    <col customWidth="1" min="9" max="9" width="17.86"/>
  </cols>
  <sheetData>
    <row r="1">
      <c r="A1" s="1" t="s">
        <v>0</v>
      </c>
      <c r="C1" s="2"/>
      <c r="D1" s="2"/>
      <c r="E1" s="2"/>
      <c r="F1" s="2"/>
      <c r="G1" s="2"/>
    </row>
    <row r="2">
      <c r="A2" s="3"/>
      <c r="B2" s="3"/>
      <c r="C2" s="3"/>
      <c r="D2" s="3"/>
      <c r="E2" s="3"/>
      <c r="F2" s="3"/>
      <c r="G2" s="4"/>
    </row>
    <row r="3">
      <c r="A3" s="5"/>
      <c r="B3" s="3"/>
      <c r="C3" s="3"/>
      <c r="D3" s="3"/>
      <c r="E3" s="3"/>
      <c r="F3" s="3"/>
      <c r="G3" s="3"/>
    </row>
    <row r="4">
      <c r="A4" s="6" t="s">
        <v>1</v>
      </c>
      <c r="B4" s="7"/>
      <c r="C4" s="7"/>
      <c r="D4" s="7"/>
      <c r="E4" s="7"/>
      <c r="F4" s="7"/>
      <c r="G4" s="7"/>
    </row>
    <row r="5">
      <c r="A5" s="8"/>
      <c r="B5" s="9"/>
      <c r="C5" s="9"/>
      <c r="D5" s="9"/>
      <c r="E5" s="9"/>
      <c r="F5" s="9"/>
      <c r="G5" s="9"/>
    </row>
    <row r="6">
      <c r="A6" s="10" t="s">
        <v>2</v>
      </c>
      <c r="B6" s="11">
        <v>5.0</v>
      </c>
      <c r="C6" s="12"/>
      <c r="D6" s="13"/>
      <c r="E6" s="13"/>
      <c r="F6" s="14"/>
      <c r="G6" s="12"/>
    </row>
    <row r="7">
      <c r="A7" s="10" t="s">
        <v>3</v>
      </c>
      <c r="B7" s="11">
        <v>46.0</v>
      </c>
      <c r="C7" s="12"/>
      <c r="D7" s="13"/>
      <c r="F7" s="14"/>
      <c r="G7" s="12"/>
    </row>
    <row r="8">
      <c r="A8" s="10" t="s">
        <v>4</v>
      </c>
      <c r="B8" s="11">
        <f>B7+B6</f>
        <v>51</v>
      </c>
      <c r="C8" s="12"/>
      <c r="D8" s="12"/>
      <c r="E8" s="12"/>
      <c r="F8" s="12"/>
      <c r="G8" s="12"/>
      <c r="I8" s="24" t="s">
        <v>7</v>
      </c>
      <c r="J8" s="24">
        <v>600000.0</v>
      </c>
      <c r="L8" s="24"/>
    </row>
    <row r="9">
      <c r="A9" s="29"/>
      <c r="B9" s="31"/>
      <c r="C9" s="29"/>
      <c r="D9" s="29"/>
      <c r="E9" s="29"/>
      <c r="F9" s="29"/>
      <c r="G9" s="29"/>
    </row>
    <row r="10">
      <c r="A10" s="35" t="s">
        <v>13</v>
      </c>
      <c r="B10" s="36"/>
      <c r="C10" s="36"/>
      <c r="D10" s="36"/>
      <c r="E10" s="36"/>
      <c r="F10" s="36"/>
      <c r="G10" s="36"/>
      <c r="I10" s="24" t="s">
        <v>16</v>
      </c>
      <c r="J10" s="24" t="s">
        <v>18</v>
      </c>
      <c r="K10" s="24" t="s">
        <v>19</v>
      </c>
    </row>
    <row r="11">
      <c r="A11" s="39"/>
      <c r="B11" s="40" t="s">
        <v>21</v>
      </c>
      <c r="C11" s="40" t="s">
        <v>23</v>
      </c>
      <c r="D11" s="40" t="s">
        <v>24</v>
      </c>
      <c r="E11" s="40" t="s">
        <v>25</v>
      </c>
      <c r="F11" s="40" t="s">
        <v>26</v>
      </c>
      <c r="G11" s="12"/>
      <c r="I11" s="24">
        <v>46.0</v>
      </c>
      <c r="J11" s="44">
        <f t="shared" ref="J11:J16" si="1">$F$15</f>
        <v>120000</v>
      </c>
      <c r="K11" s="44">
        <f>J8-J11</f>
        <v>480000</v>
      </c>
    </row>
    <row r="12">
      <c r="A12" s="10" t="s">
        <v>30</v>
      </c>
      <c r="B12" s="56">
        <f t="shared" ref="B12:B17" si="2">F12/52</f>
        <v>0</v>
      </c>
      <c r="C12" s="56">
        <f t="shared" ref="C12:C17" si="3">F12/26</f>
        <v>0</v>
      </c>
      <c r="D12" s="56">
        <f t="shared" ref="D12:D17" si="4">F12/12</f>
        <v>0</v>
      </c>
      <c r="E12" s="56">
        <f t="shared" ref="E12:E17" si="5">F12/4</f>
        <v>0</v>
      </c>
      <c r="F12" s="57"/>
      <c r="G12" s="12"/>
      <c r="I12" s="59">
        <f t="shared" ref="I12:I16" si="6">I11+1</f>
        <v>47</v>
      </c>
      <c r="J12" s="44">
        <f t="shared" si="1"/>
        <v>120000</v>
      </c>
      <c r="K12" s="44">
        <f t="shared" ref="K12:K16" si="7">K11-J12</f>
        <v>360000</v>
      </c>
    </row>
    <row r="13">
      <c r="A13" s="10" t="s">
        <v>44</v>
      </c>
      <c r="B13" s="56">
        <f t="shared" si="2"/>
        <v>0</v>
      </c>
      <c r="C13" s="56">
        <f t="shared" si="3"/>
        <v>0</v>
      </c>
      <c r="D13" s="56">
        <f t="shared" si="4"/>
        <v>0</v>
      </c>
      <c r="E13" s="56">
        <f t="shared" si="5"/>
        <v>0</v>
      </c>
      <c r="F13" s="61"/>
      <c r="G13" s="12"/>
      <c r="I13" s="59">
        <f t="shared" si="6"/>
        <v>48</v>
      </c>
      <c r="J13" s="44">
        <f t="shared" si="1"/>
        <v>120000</v>
      </c>
      <c r="K13" s="44">
        <f t="shared" si="7"/>
        <v>240000</v>
      </c>
    </row>
    <row r="14">
      <c r="A14" s="10" t="s">
        <v>45</v>
      </c>
      <c r="B14" s="56">
        <f t="shared" si="2"/>
        <v>0</v>
      </c>
      <c r="C14" s="56">
        <f t="shared" si="3"/>
        <v>0</v>
      </c>
      <c r="D14" s="56">
        <f t="shared" si="4"/>
        <v>0</v>
      </c>
      <c r="E14" s="56">
        <f t="shared" si="5"/>
        <v>0</v>
      </c>
      <c r="F14" s="61"/>
      <c r="G14" s="12"/>
      <c r="I14" s="59">
        <f t="shared" si="6"/>
        <v>49</v>
      </c>
      <c r="J14" s="44">
        <f t="shared" si="1"/>
        <v>120000</v>
      </c>
      <c r="K14" s="44">
        <f t="shared" si="7"/>
        <v>120000</v>
      </c>
    </row>
    <row r="15">
      <c r="A15" s="10" t="s">
        <v>6</v>
      </c>
      <c r="B15" s="56">
        <f t="shared" si="2"/>
        <v>2307.692308</v>
      </c>
      <c r="C15" s="56">
        <f t="shared" si="3"/>
        <v>4615.384615</v>
      </c>
      <c r="D15" s="56">
        <f t="shared" si="4"/>
        <v>10000</v>
      </c>
      <c r="E15" s="56">
        <f t="shared" si="5"/>
        <v>30000</v>
      </c>
      <c r="F15" s="57">
        <v>120000.0</v>
      </c>
      <c r="G15" s="12"/>
      <c r="I15" s="59">
        <f t="shared" si="6"/>
        <v>50</v>
      </c>
      <c r="J15" s="44">
        <f t="shared" si="1"/>
        <v>120000</v>
      </c>
      <c r="K15" s="44">
        <f t="shared" si="7"/>
        <v>0</v>
      </c>
    </row>
    <row r="16">
      <c r="A16" s="10" t="s">
        <v>46</v>
      </c>
      <c r="B16" s="56">
        <f t="shared" si="2"/>
        <v>0</v>
      </c>
      <c r="C16" s="56">
        <f t="shared" si="3"/>
        <v>0</v>
      </c>
      <c r="D16" s="56">
        <f t="shared" si="4"/>
        <v>0</v>
      </c>
      <c r="E16" s="56">
        <f t="shared" si="5"/>
        <v>0</v>
      </c>
      <c r="F16" s="61"/>
      <c r="G16" s="12"/>
      <c r="I16" s="59">
        <f t="shared" si="6"/>
        <v>51</v>
      </c>
      <c r="J16" s="44">
        <f t="shared" si="1"/>
        <v>120000</v>
      </c>
      <c r="K16" s="44">
        <f t="shared" si="7"/>
        <v>-120000</v>
      </c>
    </row>
    <row r="17">
      <c r="A17" s="65" t="s">
        <v>11</v>
      </c>
      <c r="B17" s="56">
        <f t="shared" si="2"/>
        <v>0</v>
      </c>
      <c r="C17" s="56">
        <f t="shared" si="3"/>
        <v>0</v>
      </c>
      <c r="D17" s="56">
        <f t="shared" si="4"/>
        <v>0</v>
      </c>
      <c r="E17" s="56">
        <f t="shared" si="5"/>
        <v>0</v>
      </c>
      <c r="F17" s="61"/>
      <c r="G17" s="29"/>
    </row>
    <row r="18">
      <c r="A18" s="66" t="s">
        <v>48</v>
      </c>
      <c r="B18" s="67">
        <f t="shared" ref="B18:F18" si="8">SUM(B12:B17)</f>
        <v>2307.692308</v>
      </c>
      <c r="C18" s="67">
        <f t="shared" si="8"/>
        <v>4615.384615</v>
      </c>
      <c r="D18" s="67">
        <f t="shared" si="8"/>
        <v>10000</v>
      </c>
      <c r="E18" s="67">
        <f t="shared" si="8"/>
        <v>30000</v>
      </c>
      <c r="F18" s="67">
        <f t="shared" si="8"/>
        <v>120000</v>
      </c>
      <c r="G18" s="68"/>
    </row>
    <row r="19">
      <c r="A19" s="29"/>
      <c r="B19" s="29"/>
      <c r="C19" s="29"/>
      <c r="D19" s="29"/>
      <c r="E19" s="29"/>
      <c r="F19" s="29"/>
      <c r="G19" s="29"/>
    </row>
    <row r="20">
      <c r="A20" s="6" t="s">
        <v>49</v>
      </c>
      <c r="B20" s="7"/>
      <c r="C20" s="7"/>
      <c r="D20" s="7"/>
      <c r="E20" s="7"/>
      <c r="F20" s="7"/>
      <c r="G20" s="7"/>
    </row>
    <row r="21">
      <c r="A21" s="39"/>
      <c r="B21" s="40" t="s">
        <v>21</v>
      </c>
      <c r="C21" s="40" t="s">
        <v>23</v>
      </c>
      <c r="D21" s="40" t="s">
        <v>24</v>
      </c>
      <c r="E21" s="40" t="s">
        <v>25</v>
      </c>
      <c r="F21" s="40" t="s">
        <v>26</v>
      </c>
      <c r="G21" s="70"/>
    </row>
    <row r="22">
      <c r="A22" s="71" t="s">
        <v>50</v>
      </c>
      <c r="B22" s="56">
        <f t="shared" ref="B22:B36" si="9">F22/52</f>
        <v>0</v>
      </c>
      <c r="C22" s="56">
        <v>0.0</v>
      </c>
      <c r="D22" s="56">
        <f t="shared" ref="D22:D36" si="10">F22/12</f>
        <v>0</v>
      </c>
      <c r="E22" s="56">
        <f t="shared" ref="E22:E36" si="11">F22/4</f>
        <v>0</v>
      </c>
      <c r="F22" s="57">
        <v>0.0</v>
      </c>
      <c r="G22" s="12"/>
    </row>
    <row r="23">
      <c r="A23" s="71" t="s">
        <v>51</v>
      </c>
      <c r="B23" s="56">
        <f t="shared" si="9"/>
        <v>48.07692308</v>
      </c>
      <c r="C23" s="56">
        <v>96.15384615384616</v>
      </c>
      <c r="D23" s="56">
        <f t="shared" si="10"/>
        <v>208.3333333</v>
      </c>
      <c r="E23" s="56">
        <f t="shared" si="11"/>
        <v>625</v>
      </c>
      <c r="F23" s="57">
        <f t="shared" ref="F23:F36" si="12">C23*26</f>
        <v>2500</v>
      </c>
      <c r="G23" s="12"/>
      <c r="J23" s="74"/>
      <c r="K23" s="74"/>
      <c r="L23" s="75"/>
      <c r="M23" s="75"/>
      <c r="N23" s="75"/>
      <c r="O23" s="75"/>
      <c r="P23" s="75"/>
    </row>
    <row r="24">
      <c r="A24" s="71" t="s">
        <v>52</v>
      </c>
      <c r="B24" s="56">
        <f t="shared" si="9"/>
        <v>96.15384615</v>
      </c>
      <c r="C24" s="56">
        <v>192.30769230769232</v>
      </c>
      <c r="D24" s="56">
        <f t="shared" si="10"/>
        <v>416.6666667</v>
      </c>
      <c r="E24" s="56">
        <f t="shared" si="11"/>
        <v>1250</v>
      </c>
      <c r="F24" s="57">
        <f t="shared" si="12"/>
        <v>5000</v>
      </c>
      <c r="G24" s="12"/>
      <c r="J24" s="76"/>
      <c r="K24" s="77"/>
      <c r="L24" s="78"/>
      <c r="M24" s="78"/>
      <c r="N24" s="80"/>
      <c r="O24" s="81"/>
      <c r="P24" s="81"/>
    </row>
    <row r="25">
      <c r="A25" s="71" t="s">
        <v>53</v>
      </c>
      <c r="B25" s="56">
        <f t="shared" si="9"/>
        <v>48.07692308</v>
      </c>
      <c r="C25" s="56">
        <v>96.15384615384616</v>
      </c>
      <c r="D25" s="56">
        <f t="shared" si="10"/>
        <v>208.3333333</v>
      </c>
      <c r="E25" s="56">
        <f t="shared" si="11"/>
        <v>625</v>
      </c>
      <c r="F25" s="57">
        <f t="shared" si="12"/>
        <v>2500</v>
      </c>
      <c r="G25" s="12"/>
      <c r="J25" s="76"/>
      <c r="K25" s="77"/>
      <c r="L25" s="78"/>
      <c r="M25" s="78"/>
      <c r="N25" s="78"/>
      <c r="O25" s="81"/>
      <c r="P25" s="81"/>
    </row>
    <row r="26">
      <c r="A26" s="82" t="s">
        <v>55</v>
      </c>
      <c r="B26" s="56">
        <f t="shared" si="9"/>
        <v>23.07692308</v>
      </c>
      <c r="C26" s="56">
        <v>46.15384615384615</v>
      </c>
      <c r="D26" s="56">
        <f t="shared" si="10"/>
        <v>100</v>
      </c>
      <c r="E26" s="56">
        <f t="shared" si="11"/>
        <v>300</v>
      </c>
      <c r="F26" s="57">
        <f t="shared" si="12"/>
        <v>1200</v>
      </c>
      <c r="G26" s="29"/>
      <c r="J26" s="76"/>
      <c r="K26" s="77"/>
      <c r="L26" s="81"/>
      <c r="M26" s="78"/>
      <c r="N26" s="81"/>
      <c r="O26" s="78"/>
      <c r="P26" s="81"/>
    </row>
    <row r="27">
      <c r="A27" s="83" t="s">
        <v>56</v>
      </c>
      <c r="B27" s="56">
        <f t="shared" si="9"/>
        <v>13.84615385</v>
      </c>
      <c r="C27" s="56">
        <v>27.692307692307693</v>
      </c>
      <c r="D27" s="56">
        <f t="shared" si="10"/>
        <v>60</v>
      </c>
      <c r="E27" s="56">
        <f t="shared" si="11"/>
        <v>180</v>
      </c>
      <c r="F27" s="57">
        <f t="shared" si="12"/>
        <v>720</v>
      </c>
      <c r="G27" s="29"/>
      <c r="J27" s="76"/>
      <c r="K27" s="77"/>
      <c r="L27" s="81"/>
      <c r="M27" s="78"/>
      <c r="N27" s="80"/>
      <c r="O27" s="81"/>
      <c r="P27" s="81"/>
    </row>
    <row r="28">
      <c r="A28" s="83" t="s">
        <v>57</v>
      </c>
      <c r="B28" s="56">
        <f t="shared" si="9"/>
        <v>23.07692308</v>
      </c>
      <c r="C28" s="56">
        <v>46.15384615384615</v>
      </c>
      <c r="D28" s="56">
        <f t="shared" si="10"/>
        <v>100</v>
      </c>
      <c r="E28" s="56">
        <f t="shared" si="11"/>
        <v>300</v>
      </c>
      <c r="F28" s="57">
        <f t="shared" si="12"/>
        <v>1200</v>
      </c>
      <c r="G28" s="29"/>
      <c r="J28" s="76"/>
      <c r="K28" s="77"/>
      <c r="L28" s="81"/>
      <c r="M28" s="78"/>
      <c r="N28" s="78"/>
      <c r="O28" s="81"/>
      <c r="P28" s="81"/>
    </row>
    <row r="29">
      <c r="A29" s="82" t="s">
        <v>59</v>
      </c>
      <c r="B29" s="56">
        <f t="shared" si="9"/>
        <v>57.69230769</v>
      </c>
      <c r="C29" s="56">
        <v>115.38461538461539</v>
      </c>
      <c r="D29" s="56">
        <f t="shared" si="10"/>
        <v>250</v>
      </c>
      <c r="E29" s="56">
        <f t="shared" si="11"/>
        <v>750</v>
      </c>
      <c r="F29" s="57">
        <f t="shared" si="12"/>
        <v>3000</v>
      </c>
      <c r="G29" s="29"/>
      <c r="J29" s="76"/>
      <c r="K29" s="77"/>
      <c r="L29" s="81"/>
      <c r="M29" s="86"/>
      <c r="N29" s="81"/>
      <c r="O29" s="81"/>
      <c r="P29" s="81"/>
    </row>
    <row r="30">
      <c r="A30" s="83" t="s">
        <v>62</v>
      </c>
      <c r="B30" s="56">
        <f t="shared" si="9"/>
        <v>23.07692308</v>
      </c>
      <c r="C30" s="56">
        <v>46.15384615384615</v>
      </c>
      <c r="D30" s="56">
        <f t="shared" si="10"/>
        <v>100</v>
      </c>
      <c r="E30" s="56">
        <f t="shared" si="11"/>
        <v>300</v>
      </c>
      <c r="F30" s="57">
        <f t="shared" si="12"/>
        <v>1200</v>
      </c>
      <c r="G30" s="29"/>
      <c r="J30" s="76"/>
      <c r="K30" s="77"/>
      <c r="L30" s="81"/>
      <c r="M30" s="86"/>
      <c r="N30" s="81"/>
      <c r="O30" s="81"/>
      <c r="P30" s="81"/>
    </row>
    <row r="31">
      <c r="A31" s="65" t="s">
        <v>64</v>
      </c>
      <c r="B31" s="56">
        <f t="shared" si="9"/>
        <v>34.61538462</v>
      </c>
      <c r="C31" s="56">
        <v>69.23076923076923</v>
      </c>
      <c r="D31" s="56">
        <f t="shared" si="10"/>
        <v>150</v>
      </c>
      <c r="E31" s="56">
        <f t="shared" si="11"/>
        <v>450</v>
      </c>
      <c r="F31" s="57">
        <f t="shared" si="12"/>
        <v>1800</v>
      </c>
      <c r="G31" s="29"/>
      <c r="J31" s="88"/>
      <c r="K31" s="77"/>
      <c r="L31" s="81"/>
      <c r="M31" s="78"/>
      <c r="N31" s="78"/>
      <c r="O31" s="81"/>
      <c r="P31" s="81"/>
    </row>
    <row r="32">
      <c r="A32" s="24" t="s">
        <v>66</v>
      </c>
      <c r="B32" s="56">
        <f t="shared" si="9"/>
        <v>28.84615385</v>
      </c>
      <c r="C32" s="56">
        <v>57.69230769230769</v>
      </c>
      <c r="D32" s="56">
        <f t="shared" si="10"/>
        <v>125</v>
      </c>
      <c r="E32" s="56">
        <f t="shared" si="11"/>
        <v>375</v>
      </c>
      <c r="F32" s="57">
        <f t="shared" si="12"/>
        <v>1500</v>
      </c>
      <c r="G32" s="39"/>
      <c r="J32" s="76"/>
      <c r="K32" s="77"/>
      <c r="L32" s="81"/>
      <c r="M32" s="78"/>
      <c r="N32" s="81"/>
      <c r="O32" s="81"/>
      <c r="P32" s="81"/>
    </row>
    <row r="33">
      <c r="A33" s="24" t="s">
        <v>68</v>
      </c>
      <c r="B33" s="56">
        <f t="shared" si="9"/>
        <v>0</v>
      </c>
      <c r="C33" s="56">
        <v>0.0</v>
      </c>
      <c r="D33" s="56">
        <f t="shared" si="10"/>
        <v>0</v>
      </c>
      <c r="E33" s="56">
        <f t="shared" si="11"/>
        <v>0</v>
      </c>
      <c r="F33" s="57">
        <f t="shared" si="12"/>
        <v>0</v>
      </c>
      <c r="G33" s="39"/>
      <c r="J33" s="76"/>
      <c r="K33" s="77"/>
      <c r="L33" s="78"/>
      <c r="M33" s="78"/>
      <c r="N33" s="81"/>
      <c r="O33" s="81"/>
      <c r="P33" s="81"/>
    </row>
    <row r="34">
      <c r="A34" s="90" t="s">
        <v>69</v>
      </c>
      <c r="B34" s="56">
        <f t="shared" si="9"/>
        <v>6.923076923</v>
      </c>
      <c r="C34" s="56">
        <v>13.846153846153847</v>
      </c>
      <c r="D34" s="56">
        <f t="shared" si="10"/>
        <v>30</v>
      </c>
      <c r="E34" s="56">
        <f t="shared" si="11"/>
        <v>90</v>
      </c>
      <c r="F34" s="57">
        <f t="shared" si="12"/>
        <v>360</v>
      </c>
      <c r="G34" s="39"/>
      <c r="J34" s="76"/>
      <c r="K34" s="77"/>
      <c r="L34" s="81"/>
      <c r="M34" s="78"/>
      <c r="N34" s="80"/>
      <c r="O34" s="81"/>
      <c r="P34" s="81"/>
    </row>
    <row r="35">
      <c r="A35" s="90" t="s">
        <v>69</v>
      </c>
      <c r="B35" s="56">
        <f t="shared" si="9"/>
        <v>6.923076923</v>
      </c>
      <c r="C35" s="56">
        <v>13.846153846153847</v>
      </c>
      <c r="D35" s="56">
        <f t="shared" si="10"/>
        <v>30</v>
      </c>
      <c r="E35" s="56">
        <f t="shared" si="11"/>
        <v>90</v>
      </c>
      <c r="F35" s="57">
        <f t="shared" si="12"/>
        <v>360</v>
      </c>
      <c r="G35" s="39"/>
      <c r="J35" s="76"/>
      <c r="K35" s="77"/>
      <c r="L35" s="81"/>
      <c r="M35" s="80"/>
      <c r="N35" s="78"/>
      <c r="O35" s="81"/>
      <c r="P35" s="81"/>
    </row>
    <row r="36">
      <c r="A36" s="90" t="s">
        <v>72</v>
      </c>
      <c r="B36" s="56">
        <f t="shared" si="9"/>
        <v>6.923076923</v>
      </c>
      <c r="C36" s="56">
        <v>13.846153846153847</v>
      </c>
      <c r="D36" s="56">
        <f t="shared" si="10"/>
        <v>30</v>
      </c>
      <c r="E36" s="56">
        <f t="shared" si="11"/>
        <v>90</v>
      </c>
      <c r="F36" s="57">
        <f t="shared" si="12"/>
        <v>360</v>
      </c>
      <c r="G36" s="39"/>
      <c r="J36" s="76"/>
      <c r="K36" s="77"/>
      <c r="L36" s="81"/>
      <c r="M36" s="81"/>
      <c r="N36" s="80"/>
      <c r="O36" s="81"/>
      <c r="P36" s="81"/>
    </row>
    <row r="37">
      <c r="A37" s="91" t="s">
        <v>48</v>
      </c>
      <c r="B37" s="67">
        <f t="shared" ref="B37:F37" si="13">SUM(B22:B36)</f>
        <v>417.3076923</v>
      </c>
      <c r="C37" s="67">
        <f t="shared" si="13"/>
        <v>834.6153846</v>
      </c>
      <c r="D37" s="67">
        <f t="shared" si="13"/>
        <v>1808.333333</v>
      </c>
      <c r="E37" s="67">
        <f t="shared" si="13"/>
        <v>5425</v>
      </c>
      <c r="F37" s="67">
        <f t="shared" si="13"/>
        <v>21700</v>
      </c>
      <c r="G37" s="94"/>
      <c r="J37" s="76"/>
      <c r="K37" s="77"/>
      <c r="L37" s="81"/>
      <c r="M37" s="81"/>
      <c r="N37" s="80"/>
      <c r="O37" s="81"/>
      <c r="P37" s="81"/>
    </row>
    <row r="38">
      <c r="A38" s="29"/>
      <c r="B38" s="29"/>
      <c r="C38" s="29"/>
      <c r="D38" s="29"/>
      <c r="E38" s="29"/>
      <c r="F38" s="29"/>
      <c r="G38" s="29"/>
      <c r="J38" s="76"/>
      <c r="K38" s="77"/>
      <c r="L38" s="81"/>
      <c r="M38" s="78"/>
      <c r="N38" s="81"/>
      <c r="O38" s="78"/>
      <c r="P38" s="81"/>
    </row>
    <row r="39">
      <c r="A39" s="6" t="s">
        <v>77</v>
      </c>
      <c r="B39" s="7"/>
      <c r="C39" s="7"/>
      <c r="D39" s="7"/>
      <c r="E39" s="7"/>
      <c r="F39" s="7"/>
      <c r="G39" s="7"/>
      <c r="J39" s="76"/>
      <c r="K39" s="77"/>
      <c r="L39" s="81"/>
      <c r="M39" s="81"/>
      <c r="N39" s="81"/>
      <c r="O39" s="81"/>
      <c r="P39" s="80"/>
    </row>
    <row r="40">
      <c r="A40" s="39"/>
      <c r="B40" s="40" t="s">
        <v>21</v>
      </c>
      <c r="C40" s="40" t="s">
        <v>23</v>
      </c>
      <c r="D40" s="40" t="s">
        <v>24</v>
      </c>
      <c r="E40" s="40" t="s">
        <v>25</v>
      </c>
      <c r="F40" s="40" t="s">
        <v>26</v>
      </c>
      <c r="G40" s="12"/>
      <c r="J40" s="76"/>
      <c r="K40" s="77"/>
      <c r="L40" s="78"/>
      <c r="M40" s="78"/>
      <c r="N40" s="80"/>
      <c r="O40" s="81"/>
      <c r="P40" s="81"/>
    </row>
    <row r="41">
      <c r="A41" s="82" t="s">
        <v>80</v>
      </c>
      <c r="B41" s="56">
        <f t="shared" ref="B41:B46" si="14">F41/52</f>
        <v>0</v>
      </c>
      <c r="C41" s="56">
        <v>0.0</v>
      </c>
      <c r="D41" s="56">
        <f t="shared" ref="D41:D46" si="15">F41/12</f>
        <v>0</v>
      </c>
      <c r="E41" s="56">
        <f t="shared" ref="E41:E46" si="16">F41/4</f>
        <v>0</v>
      </c>
      <c r="F41" s="57">
        <f t="shared" ref="F41:F46" si="17">C41*26</f>
        <v>0</v>
      </c>
      <c r="G41" s="12"/>
      <c r="J41" s="74"/>
      <c r="K41" s="97"/>
      <c r="L41" s="98"/>
      <c r="M41" s="98"/>
      <c r="N41" s="98"/>
      <c r="O41" s="98"/>
      <c r="P41" s="98"/>
    </row>
    <row r="42">
      <c r="A42" s="99" t="s">
        <v>81</v>
      </c>
      <c r="B42" s="56">
        <f t="shared" si="14"/>
        <v>150</v>
      </c>
      <c r="C42" s="56">
        <v>300.0</v>
      </c>
      <c r="D42" s="56">
        <f t="shared" si="15"/>
        <v>650</v>
      </c>
      <c r="E42" s="56">
        <f t="shared" si="16"/>
        <v>1950</v>
      </c>
      <c r="F42" s="57">
        <f t="shared" si="17"/>
        <v>7800</v>
      </c>
      <c r="G42" s="12"/>
      <c r="J42" s="88"/>
      <c r="K42" s="100"/>
      <c r="L42" s="100"/>
      <c r="M42" s="100"/>
      <c r="N42" s="100"/>
      <c r="O42" s="100"/>
      <c r="P42" s="100"/>
    </row>
    <row r="43">
      <c r="A43" s="71" t="s">
        <v>82</v>
      </c>
      <c r="B43" s="56">
        <f t="shared" si="14"/>
        <v>67.30769231</v>
      </c>
      <c r="C43" s="56">
        <v>134.6153846153846</v>
      </c>
      <c r="D43" s="56">
        <f t="shared" si="15"/>
        <v>291.6666667</v>
      </c>
      <c r="E43" s="56">
        <f t="shared" si="16"/>
        <v>875</v>
      </c>
      <c r="F43" s="57">
        <f t="shared" si="17"/>
        <v>3500</v>
      </c>
      <c r="G43" s="12"/>
    </row>
    <row r="44">
      <c r="A44" s="71" t="s">
        <v>85</v>
      </c>
      <c r="B44" s="56">
        <f t="shared" si="14"/>
        <v>46.15384615</v>
      </c>
      <c r="C44" s="56">
        <v>92.3076923076923</v>
      </c>
      <c r="D44" s="56">
        <f t="shared" si="15"/>
        <v>200</v>
      </c>
      <c r="E44" s="56">
        <f t="shared" si="16"/>
        <v>600</v>
      </c>
      <c r="F44" s="57">
        <f t="shared" si="17"/>
        <v>2400</v>
      </c>
      <c r="G44" s="29"/>
    </row>
    <row r="45">
      <c r="A45" s="71" t="s">
        <v>86</v>
      </c>
      <c r="B45" s="56">
        <f t="shared" si="14"/>
        <v>0</v>
      </c>
      <c r="C45" s="56">
        <v>0.0</v>
      </c>
      <c r="D45" s="56">
        <f t="shared" si="15"/>
        <v>0</v>
      </c>
      <c r="E45" s="56">
        <f t="shared" si="16"/>
        <v>0</v>
      </c>
      <c r="F45" s="57">
        <f t="shared" si="17"/>
        <v>0</v>
      </c>
      <c r="G45" s="29"/>
    </row>
    <row r="46">
      <c r="B46" s="56">
        <f t="shared" si="14"/>
        <v>0</v>
      </c>
      <c r="C46" s="56">
        <v>0.0</v>
      </c>
      <c r="D46" s="56">
        <f t="shared" si="15"/>
        <v>0</v>
      </c>
      <c r="E46" s="56">
        <f t="shared" si="16"/>
        <v>0</v>
      </c>
      <c r="F46" s="57">
        <f t="shared" si="17"/>
        <v>0</v>
      </c>
      <c r="G46" s="29"/>
    </row>
    <row r="47">
      <c r="A47" s="91" t="s">
        <v>48</v>
      </c>
      <c r="B47" s="67">
        <f t="shared" ref="B47:F47" si="18">SUM(B41:B46)</f>
        <v>263.4615385</v>
      </c>
      <c r="C47" s="67">
        <f t="shared" si="18"/>
        <v>526.9230769</v>
      </c>
      <c r="D47" s="67">
        <f t="shared" si="18"/>
        <v>1141.666667</v>
      </c>
      <c r="E47" s="67">
        <f t="shared" si="18"/>
        <v>3425</v>
      </c>
      <c r="F47" s="67">
        <f t="shared" si="18"/>
        <v>13700</v>
      </c>
      <c r="G47" s="94"/>
    </row>
    <row r="48">
      <c r="A48" s="62"/>
      <c r="B48" s="63"/>
      <c r="C48" s="63"/>
      <c r="D48" s="63"/>
      <c r="E48" s="63"/>
      <c r="F48" s="63"/>
      <c r="G48" s="63"/>
    </row>
    <row r="49">
      <c r="A49" s="6" t="s">
        <v>88</v>
      </c>
      <c r="B49" s="7"/>
      <c r="C49" s="7"/>
      <c r="D49" s="7"/>
      <c r="E49" s="7"/>
      <c r="F49" s="7"/>
      <c r="G49" s="7"/>
    </row>
    <row r="50">
      <c r="A50" s="39"/>
      <c r="B50" s="40" t="s">
        <v>21</v>
      </c>
      <c r="C50" s="40" t="s">
        <v>23</v>
      </c>
      <c r="D50" s="40" t="s">
        <v>24</v>
      </c>
      <c r="E50" s="40" t="s">
        <v>25</v>
      </c>
      <c r="F50" s="40" t="s">
        <v>26</v>
      </c>
      <c r="G50" s="12"/>
    </row>
    <row r="51">
      <c r="A51" s="71" t="s">
        <v>89</v>
      </c>
      <c r="B51" s="56">
        <f t="shared" ref="B51:B53" si="19">F51/52</f>
        <v>9.615384615</v>
      </c>
      <c r="C51" s="56">
        <v>19.23076923076923</v>
      </c>
      <c r="D51" s="56">
        <f t="shared" ref="D51:D53" si="20">F51/12</f>
        <v>41.66666667</v>
      </c>
      <c r="E51" s="56">
        <f t="shared" ref="E51:E53" si="21">F51/4</f>
        <v>125</v>
      </c>
      <c r="F51" s="57">
        <f t="shared" ref="F51:F53" si="22">C51*26</f>
        <v>500</v>
      </c>
      <c r="G51" s="12"/>
    </row>
    <row r="52">
      <c r="A52" s="71" t="s">
        <v>90</v>
      </c>
      <c r="B52" s="56">
        <f t="shared" si="19"/>
        <v>92.30769231</v>
      </c>
      <c r="C52" s="56">
        <v>184.6153846153846</v>
      </c>
      <c r="D52" s="56">
        <f t="shared" si="20"/>
        <v>400</v>
      </c>
      <c r="E52" s="56">
        <f t="shared" si="21"/>
        <v>1200</v>
      </c>
      <c r="F52" s="57">
        <f t="shared" si="22"/>
        <v>4800</v>
      </c>
      <c r="G52" s="12"/>
    </row>
    <row r="53">
      <c r="A53" s="102" t="s">
        <v>91</v>
      </c>
      <c r="B53" s="56">
        <f t="shared" si="19"/>
        <v>9.615384615</v>
      </c>
      <c r="C53" s="56">
        <v>19.23076923076923</v>
      </c>
      <c r="D53" s="56">
        <f t="shared" si="20"/>
        <v>41.66666667</v>
      </c>
      <c r="E53" s="56">
        <f t="shared" si="21"/>
        <v>125</v>
      </c>
      <c r="F53" s="57">
        <f t="shared" si="22"/>
        <v>500</v>
      </c>
      <c r="G53" s="29"/>
    </row>
    <row r="54">
      <c r="A54" s="103" t="s">
        <v>48</v>
      </c>
      <c r="B54" s="67">
        <f t="shared" ref="B54:F54" si="23">SUM(B48:B53)</f>
        <v>111.5384615</v>
      </c>
      <c r="C54" s="67">
        <f t="shared" si="23"/>
        <v>223.0769231</v>
      </c>
      <c r="D54" s="67">
        <f t="shared" si="23"/>
        <v>483.3333333</v>
      </c>
      <c r="E54" s="67">
        <f t="shared" si="23"/>
        <v>1450</v>
      </c>
      <c r="F54" s="67">
        <f t="shared" si="23"/>
        <v>5800</v>
      </c>
      <c r="G54" s="104"/>
    </row>
    <row r="55">
      <c r="A55" s="62"/>
      <c r="B55" s="63"/>
      <c r="C55" s="63"/>
      <c r="D55" s="63"/>
      <c r="E55" s="63"/>
      <c r="F55" s="63"/>
      <c r="G55" s="63"/>
    </row>
    <row r="56">
      <c r="A56" s="62"/>
      <c r="B56" s="63"/>
      <c r="C56" s="63"/>
      <c r="D56" s="63"/>
      <c r="E56" s="63"/>
      <c r="F56" s="63"/>
      <c r="G56" s="63"/>
    </row>
    <row r="57">
      <c r="A57" s="6" t="s">
        <v>93</v>
      </c>
      <c r="B57" s="7"/>
      <c r="C57" s="7"/>
      <c r="D57" s="7"/>
      <c r="E57" s="7"/>
      <c r="F57" s="7"/>
      <c r="G57" s="7"/>
    </row>
    <row r="58">
      <c r="A58" s="39"/>
      <c r="B58" s="40" t="s">
        <v>21</v>
      </c>
      <c r="C58" s="40" t="s">
        <v>23</v>
      </c>
      <c r="D58" s="40" t="s">
        <v>24</v>
      </c>
      <c r="E58" s="40" t="s">
        <v>25</v>
      </c>
      <c r="F58" s="40" t="s">
        <v>26</v>
      </c>
      <c r="G58" s="12"/>
    </row>
    <row r="59">
      <c r="A59" s="90" t="s">
        <v>94</v>
      </c>
      <c r="B59" s="56">
        <f t="shared" ref="B59:B63" si="24">F59/52</f>
        <v>23.07692308</v>
      </c>
      <c r="C59" s="56">
        <v>46.15384615384615</v>
      </c>
      <c r="D59" s="56">
        <f t="shared" ref="D59:D63" si="25">F59/12</f>
        <v>100</v>
      </c>
      <c r="E59" s="56">
        <f t="shared" ref="E59:E63" si="26">F59/4</f>
        <v>300</v>
      </c>
      <c r="F59" s="57">
        <f t="shared" ref="F59:F63" si="27">C59*26</f>
        <v>1200</v>
      </c>
      <c r="G59" s="12"/>
    </row>
    <row r="60">
      <c r="A60" s="90" t="s">
        <v>95</v>
      </c>
      <c r="B60" s="56">
        <f t="shared" si="24"/>
        <v>13.84615385</v>
      </c>
      <c r="C60" s="56">
        <v>27.692307692307693</v>
      </c>
      <c r="D60" s="56">
        <f t="shared" si="25"/>
        <v>60</v>
      </c>
      <c r="E60" s="56">
        <f t="shared" si="26"/>
        <v>180</v>
      </c>
      <c r="F60" s="57">
        <f t="shared" si="27"/>
        <v>720</v>
      </c>
      <c r="G60" s="12"/>
    </row>
    <row r="61">
      <c r="A61" s="105" t="s">
        <v>96</v>
      </c>
      <c r="B61" s="56">
        <f t="shared" si="24"/>
        <v>200</v>
      </c>
      <c r="C61" s="56">
        <v>400.0</v>
      </c>
      <c r="D61" s="56">
        <f t="shared" si="25"/>
        <v>866.6666667</v>
      </c>
      <c r="E61" s="56">
        <f t="shared" si="26"/>
        <v>2600</v>
      </c>
      <c r="F61" s="57">
        <f t="shared" si="27"/>
        <v>10400</v>
      </c>
      <c r="G61" s="12"/>
    </row>
    <row r="62">
      <c r="A62" s="90" t="s">
        <v>97</v>
      </c>
      <c r="B62" s="56">
        <f t="shared" si="24"/>
        <v>50</v>
      </c>
      <c r="C62" s="56">
        <v>100.0</v>
      </c>
      <c r="D62" s="56">
        <f t="shared" si="25"/>
        <v>216.6666667</v>
      </c>
      <c r="E62" s="56">
        <f t="shared" si="26"/>
        <v>650</v>
      </c>
      <c r="F62" s="57">
        <f t="shared" si="27"/>
        <v>2600</v>
      </c>
      <c r="G62" s="12"/>
    </row>
    <row r="63">
      <c r="A63" s="105" t="s">
        <v>98</v>
      </c>
      <c r="B63" s="56">
        <f t="shared" si="24"/>
        <v>25</v>
      </c>
      <c r="C63" s="56">
        <v>50.0</v>
      </c>
      <c r="D63" s="56">
        <f t="shared" si="25"/>
        <v>108.3333333</v>
      </c>
      <c r="E63" s="56">
        <f t="shared" si="26"/>
        <v>325</v>
      </c>
      <c r="F63" s="57">
        <f t="shared" si="27"/>
        <v>1300</v>
      </c>
      <c r="G63" s="29"/>
    </row>
    <row r="64">
      <c r="A64" s="103" t="s">
        <v>48</v>
      </c>
      <c r="B64" s="67">
        <f t="shared" ref="B64:F64" si="28">SUM(B59:B63)</f>
        <v>311.9230769</v>
      </c>
      <c r="C64" s="67">
        <f t="shared" si="28"/>
        <v>623.8461538</v>
      </c>
      <c r="D64" s="67">
        <f t="shared" si="28"/>
        <v>1351.666667</v>
      </c>
      <c r="E64" s="67">
        <f t="shared" si="28"/>
        <v>4055</v>
      </c>
      <c r="F64" s="67">
        <f t="shared" si="28"/>
        <v>16220</v>
      </c>
      <c r="G64" s="104"/>
    </row>
    <row r="65">
      <c r="A65" s="106"/>
      <c r="B65" s="29"/>
      <c r="C65" s="9"/>
      <c r="D65" s="29"/>
      <c r="E65" s="29"/>
      <c r="F65" s="29"/>
      <c r="G65" s="29"/>
    </row>
    <row r="66">
      <c r="A66" s="6" t="s">
        <v>100</v>
      </c>
      <c r="B66" s="7"/>
      <c r="C66" s="7"/>
      <c r="D66" s="7"/>
      <c r="E66" s="7"/>
      <c r="F66" s="7"/>
      <c r="G66" s="7"/>
    </row>
    <row r="67">
      <c r="A67" s="39"/>
      <c r="B67" s="40" t="s">
        <v>21</v>
      </c>
      <c r="C67" s="40" t="s">
        <v>23</v>
      </c>
      <c r="D67" s="40" t="s">
        <v>24</v>
      </c>
      <c r="E67" s="40" t="s">
        <v>25</v>
      </c>
      <c r="F67" s="40" t="s">
        <v>26</v>
      </c>
      <c r="G67" s="12"/>
    </row>
    <row r="68">
      <c r="A68" s="71" t="s">
        <v>101</v>
      </c>
      <c r="B68" s="56">
        <f t="shared" ref="B68:B76" si="29">F68/52</f>
        <v>150</v>
      </c>
      <c r="C68" s="56">
        <v>300.0</v>
      </c>
      <c r="D68" s="56">
        <f t="shared" ref="D68:D76" si="30">F68/12</f>
        <v>650</v>
      </c>
      <c r="E68" s="56">
        <f t="shared" ref="E68:E76" si="31">F68/4</f>
        <v>1950</v>
      </c>
      <c r="F68" s="57">
        <f t="shared" ref="F68:F76" si="32">C68*26</f>
        <v>7800</v>
      </c>
      <c r="G68" s="29"/>
    </row>
    <row r="69">
      <c r="A69" s="107" t="s">
        <v>102</v>
      </c>
      <c r="B69" s="56">
        <f t="shared" si="29"/>
        <v>50</v>
      </c>
      <c r="C69" s="56">
        <v>100.0</v>
      </c>
      <c r="D69" s="56">
        <f t="shared" si="30"/>
        <v>216.6666667</v>
      </c>
      <c r="E69" s="56">
        <f t="shared" si="31"/>
        <v>650</v>
      </c>
      <c r="F69" s="57">
        <f t="shared" si="32"/>
        <v>2600</v>
      </c>
      <c r="G69" s="29"/>
    </row>
    <row r="70">
      <c r="A70" s="90" t="s">
        <v>103</v>
      </c>
      <c r="B70" s="56">
        <f t="shared" si="29"/>
        <v>200</v>
      </c>
      <c r="C70" s="56">
        <v>400.0</v>
      </c>
      <c r="D70" s="56">
        <f t="shared" si="30"/>
        <v>866.6666667</v>
      </c>
      <c r="E70" s="56">
        <f t="shared" si="31"/>
        <v>2600</v>
      </c>
      <c r="F70" s="57">
        <f t="shared" si="32"/>
        <v>10400</v>
      </c>
      <c r="G70" s="12"/>
    </row>
    <row r="71">
      <c r="A71" s="90" t="s">
        <v>104</v>
      </c>
      <c r="B71" s="56">
        <f t="shared" si="29"/>
        <v>46.15384615</v>
      </c>
      <c r="C71" s="56">
        <v>92.3076923076923</v>
      </c>
      <c r="D71" s="56">
        <f t="shared" si="30"/>
        <v>200</v>
      </c>
      <c r="E71" s="56">
        <f t="shared" si="31"/>
        <v>600</v>
      </c>
      <c r="F71" s="57">
        <f t="shared" si="32"/>
        <v>2400</v>
      </c>
      <c r="G71" s="29"/>
    </row>
    <row r="72">
      <c r="A72" s="71" t="s">
        <v>105</v>
      </c>
      <c r="B72" s="56">
        <f t="shared" si="29"/>
        <v>92.30769231</v>
      </c>
      <c r="C72" s="56">
        <v>184.6153846153846</v>
      </c>
      <c r="D72" s="56">
        <f t="shared" si="30"/>
        <v>400</v>
      </c>
      <c r="E72" s="56">
        <f t="shared" si="31"/>
        <v>1200</v>
      </c>
      <c r="F72" s="57">
        <f t="shared" si="32"/>
        <v>4800</v>
      </c>
      <c r="G72" s="29"/>
    </row>
    <row r="73">
      <c r="A73" s="107" t="s">
        <v>106</v>
      </c>
      <c r="B73" s="56">
        <f t="shared" si="29"/>
        <v>50</v>
      </c>
      <c r="C73" s="56">
        <v>100.0</v>
      </c>
      <c r="D73" s="56">
        <f t="shared" si="30"/>
        <v>216.6666667</v>
      </c>
      <c r="E73" s="56">
        <f t="shared" si="31"/>
        <v>650</v>
      </c>
      <c r="F73" s="57">
        <f t="shared" si="32"/>
        <v>2600</v>
      </c>
      <c r="G73" s="29"/>
    </row>
    <row r="74">
      <c r="A74" s="107" t="s">
        <v>107</v>
      </c>
      <c r="B74" s="56">
        <f t="shared" si="29"/>
        <v>50</v>
      </c>
      <c r="C74" s="56">
        <v>100.0</v>
      </c>
      <c r="D74" s="56">
        <f t="shared" si="30"/>
        <v>216.6666667</v>
      </c>
      <c r="E74" s="56">
        <f t="shared" si="31"/>
        <v>650</v>
      </c>
      <c r="F74" s="57">
        <f t="shared" si="32"/>
        <v>2600</v>
      </c>
      <c r="G74" s="29"/>
    </row>
    <row r="75">
      <c r="A75" s="107" t="s">
        <v>108</v>
      </c>
      <c r="B75" s="56">
        <f t="shared" si="29"/>
        <v>60</v>
      </c>
      <c r="C75" s="56">
        <v>120.0</v>
      </c>
      <c r="D75" s="56">
        <f t="shared" si="30"/>
        <v>260</v>
      </c>
      <c r="E75" s="56">
        <f t="shared" si="31"/>
        <v>780</v>
      </c>
      <c r="F75" s="57">
        <f t="shared" si="32"/>
        <v>3120</v>
      </c>
      <c r="G75" s="29"/>
    </row>
    <row r="76">
      <c r="A76" s="107" t="s">
        <v>109</v>
      </c>
      <c r="B76" s="56">
        <f t="shared" si="29"/>
        <v>15</v>
      </c>
      <c r="C76" s="56">
        <v>30.0</v>
      </c>
      <c r="D76" s="56">
        <f t="shared" si="30"/>
        <v>65</v>
      </c>
      <c r="E76" s="56">
        <f t="shared" si="31"/>
        <v>195</v>
      </c>
      <c r="F76" s="57">
        <f t="shared" si="32"/>
        <v>780</v>
      </c>
      <c r="G76" s="29"/>
    </row>
    <row r="77">
      <c r="A77" s="103" t="s">
        <v>48</v>
      </c>
      <c r="B77" s="67">
        <f t="shared" ref="B77:E77" si="33">SUM(B73:B75)</f>
        <v>160</v>
      </c>
      <c r="C77" s="67">
        <f t="shared" si="33"/>
        <v>320</v>
      </c>
      <c r="D77" s="67">
        <f t="shared" si="33"/>
        <v>693.3333333</v>
      </c>
      <c r="E77" s="67">
        <f t="shared" si="33"/>
        <v>2080</v>
      </c>
      <c r="F77" s="67">
        <f>SUM(F68:F76)</f>
        <v>37100</v>
      </c>
      <c r="G77" s="104"/>
    </row>
    <row r="78">
      <c r="B78" s="29"/>
      <c r="C78" s="9"/>
      <c r="D78" s="29"/>
      <c r="E78" s="29"/>
      <c r="F78" s="29"/>
      <c r="G78" s="29"/>
    </row>
    <row r="80">
      <c r="A80" s="6" t="s">
        <v>110</v>
      </c>
      <c r="B80" s="7"/>
      <c r="C80" s="7"/>
      <c r="D80" s="7"/>
      <c r="E80" s="7"/>
      <c r="F80" s="7"/>
      <c r="G80" s="7"/>
    </row>
    <row r="81">
      <c r="A81" s="39"/>
      <c r="B81" s="40" t="s">
        <v>21</v>
      </c>
      <c r="C81" s="40" t="s">
        <v>23</v>
      </c>
      <c r="D81" s="40" t="s">
        <v>24</v>
      </c>
      <c r="E81" s="40" t="s">
        <v>25</v>
      </c>
      <c r="F81" s="40" t="s">
        <v>26</v>
      </c>
      <c r="G81" s="12"/>
    </row>
    <row r="82">
      <c r="A82" s="10" t="s">
        <v>111</v>
      </c>
      <c r="B82" s="56">
        <f t="shared" ref="B82:B89" si="34">F82/52</f>
        <v>0</v>
      </c>
      <c r="C82" s="56">
        <f t="shared" ref="C82:C89" si="35">F82/26</f>
        <v>0</v>
      </c>
      <c r="D82" s="56">
        <f t="shared" ref="D82:D89" si="36">F82/12</f>
        <v>0</v>
      </c>
      <c r="E82" s="56">
        <f t="shared" ref="E82:E89" si="37">F82/4</f>
        <v>0</v>
      </c>
      <c r="F82" s="57"/>
      <c r="G82" s="12"/>
    </row>
    <row r="83">
      <c r="A83" s="10" t="s">
        <v>112</v>
      </c>
      <c r="B83" s="56">
        <f t="shared" si="34"/>
        <v>0</v>
      </c>
      <c r="C83" s="56">
        <f t="shared" si="35"/>
        <v>0</v>
      </c>
      <c r="D83" s="56">
        <f t="shared" si="36"/>
        <v>0</v>
      </c>
      <c r="E83" s="56">
        <f t="shared" si="37"/>
        <v>0</v>
      </c>
      <c r="F83" s="57"/>
      <c r="G83" s="12"/>
    </row>
    <row r="84">
      <c r="A84" s="10" t="s">
        <v>113</v>
      </c>
      <c r="B84" s="56">
        <f t="shared" si="34"/>
        <v>0</v>
      </c>
      <c r="C84" s="56">
        <f t="shared" si="35"/>
        <v>0</v>
      </c>
      <c r="D84" s="56">
        <f t="shared" si="36"/>
        <v>0</v>
      </c>
      <c r="E84" s="56">
        <f t="shared" si="37"/>
        <v>0</v>
      </c>
      <c r="F84" s="57"/>
      <c r="G84" s="12"/>
    </row>
    <row r="85">
      <c r="A85" s="10"/>
      <c r="B85" s="56">
        <f t="shared" si="34"/>
        <v>0</v>
      </c>
      <c r="C85" s="56">
        <f t="shared" si="35"/>
        <v>0</v>
      </c>
      <c r="D85" s="56">
        <f t="shared" si="36"/>
        <v>0</v>
      </c>
      <c r="E85" s="56">
        <f t="shared" si="37"/>
        <v>0</v>
      </c>
      <c r="F85" s="57"/>
      <c r="G85" s="12"/>
    </row>
    <row r="86">
      <c r="A86" s="10"/>
      <c r="B86" s="56">
        <f t="shared" si="34"/>
        <v>0</v>
      </c>
      <c r="C86" s="56">
        <f t="shared" si="35"/>
        <v>0</v>
      </c>
      <c r="D86" s="56">
        <f t="shared" si="36"/>
        <v>0</v>
      </c>
      <c r="E86" s="56">
        <f t="shared" si="37"/>
        <v>0</v>
      </c>
      <c r="F86" s="57"/>
      <c r="G86" s="12"/>
    </row>
    <row r="87">
      <c r="A87" s="10"/>
      <c r="B87" s="56">
        <f t="shared" si="34"/>
        <v>0</v>
      </c>
      <c r="C87" s="56">
        <f t="shared" si="35"/>
        <v>0</v>
      </c>
      <c r="D87" s="56">
        <f t="shared" si="36"/>
        <v>0</v>
      </c>
      <c r="E87" s="56">
        <f t="shared" si="37"/>
        <v>0</v>
      </c>
      <c r="F87" s="57"/>
      <c r="G87" s="12"/>
    </row>
    <row r="88">
      <c r="A88" s="29"/>
      <c r="B88" s="56">
        <f t="shared" si="34"/>
        <v>0</v>
      </c>
      <c r="C88" s="56">
        <f t="shared" si="35"/>
        <v>0</v>
      </c>
      <c r="D88" s="56">
        <f t="shared" si="36"/>
        <v>0</v>
      </c>
      <c r="E88" s="56">
        <f t="shared" si="37"/>
        <v>0</v>
      </c>
      <c r="F88" s="57"/>
      <c r="G88" s="29"/>
    </row>
    <row r="89">
      <c r="A89" s="29"/>
      <c r="B89" s="56">
        <f t="shared" si="34"/>
        <v>0</v>
      </c>
      <c r="C89" s="56">
        <f t="shared" si="35"/>
        <v>0</v>
      </c>
      <c r="D89" s="56">
        <f t="shared" si="36"/>
        <v>0</v>
      </c>
      <c r="E89" s="56">
        <f t="shared" si="37"/>
        <v>0</v>
      </c>
      <c r="F89" s="57"/>
      <c r="G89" s="29"/>
    </row>
    <row r="90">
      <c r="A90" s="103" t="s">
        <v>48</v>
      </c>
      <c r="B90" s="67">
        <f t="shared" ref="B90:F90" si="38">SUM(B84:B89)</f>
        <v>0</v>
      </c>
      <c r="C90" s="67">
        <f t="shared" si="38"/>
        <v>0</v>
      </c>
      <c r="D90" s="67">
        <f t="shared" si="38"/>
        <v>0</v>
      </c>
      <c r="E90" s="67">
        <f t="shared" si="38"/>
        <v>0</v>
      </c>
      <c r="F90" s="67">
        <f t="shared" si="38"/>
        <v>0</v>
      </c>
      <c r="G90" s="104"/>
    </row>
    <row r="91">
      <c r="B91" s="11"/>
      <c r="C91" s="108"/>
      <c r="D91" s="108"/>
      <c r="E91" s="108"/>
      <c r="F91" s="109"/>
      <c r="G91" s="12"/>
    </row>
    <row r="92">
      <c r="B92" s="11"/>
      <c r="C92" s="108"/>
      <c r="D92" s="108"/>
      <c r="E92" s="108"/>
      <c r="F92" s="109"/>
      <c r="G92" s="12"/>
    </row>
    <row r="93">
      <c r="A93" s="29"/>
      <c r="B93" s="29"/>
      <c r="C93" s="29"/>
      <c r="D93" s="29"/>
      <c r="E93" s="29"/>
      <c r="F93" s="29"/>
      <c r="G93" s="29"/>
    </row>
    <row r="94">
      <c r="A94" s="35" t="s">
        <v>115</v>
      </c>
      <c r="B94" s="36"/>
      <c r="C94" s="36"/>
      <c r="D94" s="36"/>
      <c r="E94" s="36"/>
      <c r="F94" s="36"/>
      <c r="G94" s="36"/>
    </row>
    <row r="95">
      <c r="A95" s="111"/>
      <c r="B95" s="112"/>
      <c r="C95" s="112"/>
      <c r="D95" s="112"/>
      <c r="E95" s="112"/>
      <c r="F95" s="112"/>
      <c r="G95" s="112"/>
    </row>
    <row r="96">
      <c r="A96" s="113" t="s">
        <v>114</v>
      </c>
      <c r="B96" s="114"/>
      <c r="C96" s="114"/>
      <c r="D96" s="114"/>
      <c r="E96" s="114"/>
      <c r="F96" s="110">
        <f>F37+F47+F64+F77+F90</f>
        <v>88720</v>
      </c>
      <c r="G96" s="114"/>
    </row>
    <row r="97">
      <c r="A97" s="113" t="s">
        <v>116</v>
      </c>
      <c r="C97" s="114"/>
      <c r="D97" s="114"/>
      <c r="E97" s="114"/>
      <c r="F97" s="110">
        <f>F18</f>
        <v>120000</v>
      </c>
      <c r="G97" s="114"/>
    </row>
    <row r="98">
      <c r="A98" s="113" t="s">
        <v>19</v>
      </c>
      <c r="B98" s="114"/>
      <c r="C98" s="114"/>
      <c r="D98" s="114"/>
      <c r="E98" s="114"/>
      <c r="F98" s="110">
        <f>F97-F96</f>
        <v>31280</v>
      </c>
      <c r="G98" s="114"/>
    </row>
    <row r="99">
      <c r="A99" s="115" t="s">
        <v>117</v>
      </c>
      <c r="B99" s="112"/>
      <c r="C99" s="112"/>
      <c r="D99" s="112"/>
      <c r="E99" s="112"/>
      <c r="F99" s="112">
        <f>F98/12</f>
        <v>2606.666667</v>
      </c>
      <c r="G99" s="112"/>
    </row>
  </sheetData>
  <mergeCells count="3">
    <mergeCell ref="A1:B1"/>
    <mergeCell ref="D7:E7"/>
    <mergeCell ref="A97:B9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D1" s="2"/>
      <c r="E1" s="2"/>
      <c r="F1" s="15"/>
      <c r="G1" s="2"/>
      <c r="H1" s="2"/>
    </row>
    <row r="2">
      <c r="A2" s="3"/>
      <c r="B2" s="3"/>
      <c r="C2" s="3"/>
      <c r="D2" s="3"/>
      <c r="E2" s="3"/>
      <c r="F2" s="3"/>
      <c r="G2" s="3"/>
      <c r="H2" s="16" t="s">
        <v>5</v>
      </c>
    </row>
    <row r="3">
      <c r="A3" s="17"/>
      <c r="C3" s="3"/>
      <c r="D3" s="3"/>
      <c r="E3" s="3"/>
      <c r="F3" s="3"/>
      <c r="G3" s="3"/>
      <c r="H3" s="3"/>
    </row>
    <row r="4">
      <c r="A4" s="3"/>
      <c r="B4" s="3"/>
      <c r="C4" s="3"/>
      <c r="D4" s="3"/>
      <c r="E4" s="3"/>
      <c r="F4" s="3"/>
      <c r="G4" s="3"/>
      <c r="H4" s="3"/>
    </row>
    <row r="5">
      <c r="A5" s="6" t="s">
        <v>1</v>
      </c>
      <c r="E5" s="19"/>
    </row>
    <row r="6">
      <c r="A6" s="21"/>
      <c r="B6" s="23"/>
      <c r="C6" s="21"/>
      <c r="D6" s="21"/>
      <c r="E6" s="21"/>
      <c r="F6" s="21"/>
      <c r="G6" s="21"/>
      <c r="H6" s="21"/>
    </row>
    <row r="7">
      <c r="A7" s="25" t="s">
        <v>8</v>
      </c>
      <c r="B7" s="26"/>
      <c r="C7" s="28">
        <v>33.0</v>
      </c>
      <c r="D7" s="26"/>
      <c r="E7" s="30"/>
      <c r="F7" s="32" t="s">
        <v>9</v>
      </c>
      <c r="G7" s="32">
        <v>32.0</v>
      </c>
      <c r="H7" s="26"/>
    </row>
    <row r="8">
      <c r="A8" s="25" t="s">
        <v>10</v>
      </c>
      <c r="C8" s="28">
        <v>65.0</v>
      </c>
      <c r="D8" s="26"/>
      <c r="E8" s="30"/>
      <c r="F8" s="32" t="s">
        <v>12</v>
      </c>
      <c r="G8" s="33">
        <v>27488.0</v>
      </c>
      <c r="H8" s="26"/>
    </row>
    <row r="9">
      <c r="A9" s="25" t="s">
        <v>14</v>
      </c>
      <c r="C9" s="14">
        <v>20.0</v>
      </c>
      <c r="D9" s="26"/>
      <c r="E9" s="30"/>
      <c r="F9" s="32" t="s">
        <v>15</v>
      </c>
      <c r="G9" s="33">
        <v>681242.0</v>
      </c>
      <c r="H9" s="26"/>
    </row>
    <row r="10">
      <c r="A10" s="37"/>
      <c r="E10" s="38"/>
      <c r="F10" s="38"/>
      <c r="G10" s="38"/>
      <c r="H10" s="38"/>
    </row>
    <row r="11">
      <c r="A11" s="6" t="s">
        <v>20</v>
      </c>
      <c r="E11" s="41"/>
      <c r="F11" s="41"/>
      <c r="G11" s="41"/>
      <c r="H11" s="41"/>
    </row>
    <row r="12">
      <c r="A12" s="21"/>
      <c r="B12" s="23"/>
      <c r="C12" s="21"/>
      <c r="D12" s="21"/>
      <c r="E12" s="21"/>
      <c r="F12" s="21"/>
      <c r="G12" s="21"/>
      <c r="H12" s="21"/>
    </row>
    <row r="13">
      <c r="A13" s="25" t="s">
        <v>28</v>
      </c>
      <c r="C13" s="42">
        <v>0.02</v>
      </c>
      <c r="D13" s="26"/>
      <c r="E13" s="26"/>
      <c r="F13" s="26"/>
      <c r="G13" s="26"/>
      <c r="H13" s="26"/>
    </row>
    <row r="14">
      <c r="A14" s="45"/>
      <c r="B14" s="45"/>
      <c r="C14" s="46"/>
      <c r="D14" s="45"/>
      <c r="E14" s="45"/>
      <c r="F14" s="45"/>
      <c r="G14" s="45"/>
      <c r="H14" s="45"/>
    </row>
    <row r="15">
      <c r="A15" s="29"/>
      <c r="B15" s="29"/>
      <c r="C15" s="31"/>
      <c r="D15" s="29"/>
      <c r="E15" s="29"/>
      <c r="F15" s="29"/>
      <c r="G15" s="29"/>
      <c r="H15" s="29"/>
    </row>
    <row r="16">
      <c r="A16" s="47" t="s">
        <v>29</v>
      </c>
      <c r="B16" s="47" t="s">
        <v>16</v>
      </c>
      <c r="C16" s="48" t="s">
        <v>31</v>
      </c>
      <c r="D16" s="50"/>
      <c r="E16" s="51" t="s">
        <v>33</v>
      </c>
      <c r="G16" s="51" t="s">
        <v>34</v>
      </c>
    </row>
    <row r="17">
      <c r="A17" s="12"/>
      <c r="B17" s="12"/>
      <c r="C17" s="52"/>
      <c r="D17" s="12"/>
      <c r="E17" s="12"/>
      <c r="F17" s="12"/>
      <c r="G17" s="12"/>
      <c r="H17" s="12"/>
    </row>
    <row r="18">
      <c r="A18" s="10">
        <v>66.0</v>
      </c>
      <c r="B18" s="10">
        <v>1.0</v>
      </c>
      <c r="C18" s="53">
        <v>0.02</v>
      </c>
      <c r="D18" s="54">
        <v>1.0</v>
      </c>
      <c r="E18" s="55">
        <v>28038.0</v>
      </c>
      <c r="G18" s="55">
        <v>28038.0</v>
      </c>
    </row>
    <row r="19">
      <c r="A19" s="10">
        <v>67.0</v>
      </c>
      <c r="B19" s="10">
        <v>2.0</v>
      </c>
      <c r="C19" s="53">
        <v>0.02</v>
      </c>
      <c r="D19" s="54">
        <v>2.0</v>
      </c>
      <c r="E19" s="55">
        <v>28598.0</v>
      </c>
      <c r="G19" s="55">
        <v>56636.0</v>
      </c>
    </row>
    <row r="20">
      <c r="A20" s="10">
        <v>68.0</v>
      </c>
      <c r="B20" s="10">
        <v>3.0</v>
      </c>
      <c r="C20" s="53">
        <v>0.02</v>
      </c>
      <c r="D20" s="54">
        <v>3.0</v>
      </c>
      <c r="E20" s="55">
        <v>29170.0</v>
      </c>
      <c r="G20" s="55">
        <v>85806.0</v>
      </c>
    </row>
    <row r="21">
      <c r="A21" s="10">
        <v>69.0</v>
      </c>
      <c r="B21" s="10">
        <v>4.0</v>
      </c>
      <c r="C21" s="53">
        <v>0.02</v>
      </c>
      <c r="D21" s="54">
        <v>4.0</v>
      </c>
      <c r="E21" s="55">
        <v>29754.0</v>
      </c>
      <c r="G21" s="55">
        <v>115560.0</v>
      </c>
    </row>
    <row r="22">
      <c r="A22" s="10">
        <v>70.0</v>
      </c>
      <c r="B22" s="10">
        <v>5.0</v>
      </c>
      <c r="C22" s="53">
        <v>0.02</v>
      </c>
      <c r="D22" s="54">
        <v>5.0</v>
      </c>
      <c r="E22" s="55">
        <v>30349.0</v>
      </c>
      <c r="G22" s="55">
        <v>145909.0</v>
      </c>
    </row>
    <row r="23">
      <c r="A23" s="10">
        <v>71.0</v>
      </c>
      <c r="B23" s="10">
        <v>6.0</v>
      </c>
      <c r="C23" s="53">
        <v>0.02</v>
      </c>
      <c r="D23" s="54">
        <v>6.0</v>
      </c>
      <c r="E23" s="55">
        <v>30956.0</v>
      </c>
      <c r="G23" s="55">
        <v>176865.0</v>
      </c>
    </row>
    <row r="24">
      <c r="A24" s="10">
        <v>72.0</v>
      </c>
      <c r="B24" s="10">
        <v>7.0</v>
      </c>
      <c r="C24" s="53">
        <v>0.02</v>
      </c>
      <c r="D24" s="54">
        <v>7.0</v>
      </c>
      <c r="E24" s="55">
        <v>31575.0</v>
      </c>
      <c r="G24" s="55">
        <v>208440.0</v>
      </c>
    </row>
    <row r="25">
      <c r="A25" s="10">
        <v>73.0</v>
      </c>
      <c r="B25" s="10">
        <v>8.0</v>
      </c>
      <c r="C25" s="53">
        <v>0.02</v>
      </c>
      <c r="D25" s="54">
        <v>8.0</v>
      </c>
      <c r="E25" s="55">
        <v>32206.0</v>
      </c>
      <c r="G25" s="55">
        <v>240646.0</v>
      </c>
    </row>
    <row r="26">
      <c r="A26" s="10">
        <v>74.0</v>
      </c>
      <c r="B26" s="10">
        <v>9.0</v>
      </c>
      <c r="C26" s="53">
        <v>0.02</v>
      </c>
      <c r="D26" s="54">
        <v>9.0</v>
      </c>
      <c r="E26" s="55">
        <v>32851.0</v>
      </c>
      <c r="G26" s="55">
        <v>273497.0</v>
      </c>
    </row>
    <row r="27">
      <c r="A27" s="10">
        <v>75.0</v>
      </c>
      <c r="B27" s="10">
        <v>10.0</v>
      </c>
      <c r="C27" s="53">
        <v>0.02</v>
      </c>
      <c r="D27" s="54">
        <v>10.0</v>
      </c>
      <c r="E27" s="55">
        <v>33508.0</v>
      </c>
      <c r="G27" s="55">
        <v>307005.0</v>
      </c>
    </row>
    <row r="28">
      <c r="A28" s="10">
        <v>76.0</v>
      </c>
      <c r="B28" s="10">
        <v>11.0</v>
      </c>
      <c r="C28" s="53">
        <v>0.02</v>
      </c>
      <c r="D28" s="54">
        <v>11.0</v>
      </c>
      <c r="E28" s="55">
        <v>34178.0</v>
      </c>
      <c r="G28" s="55">
        <v>341182.0</v>
      </c>
    </row>
    <row r="29">
      <c r="A29" s="10">
        <v>77.0</v>
      </c>
      <c r="B29" s="10">
        <v>12.0</v>
      </c>
      <c r="C29" s="53">
        <v>0.02</v>
      </c>
      <c r="D29" s="54">
        <v>12.0</v>
      </c>
      <c r="E29" s="55">
        <v>34861.0</v>
      </c>
      <c r="G29" s="55">
        <v>376044.0</v>
      </c>
    </row>
    <row r="30">
      <c r="A30" s="10">
        <v>78.0</v>
      </c>
      <c r="B30" s="10">
        <v>13.0</v>
      </c>
      <c r="C30" s="53">
        <v>0.02</v>
      </c>
      <c r="D30" s="54">
        <v>13.0</v>
      </c>
      <c r="E30" s="55">
        <v>35559.0</v>
      </c>
      <c r="G30" s="55">
        <v>411602.0</v>
      </c>
    </row>
    <row r="31">
      <c r="A31" s="10">
        <v>79.0</v>
      </c>
      <c r="B31" s="10">
        <v>14.0</v>
      </c>
      <c r="C31" s="53">
        <v>0.02</v>
      </c>
      <c r="D31" s="54">
        <v>14.0</v>
      </c>
      <c r="E31" s="55">
        <v>36270.0</v>
      </c>
      <c r="G31" s="55">
        <v>447872.0</v>
      </c>
    </row>
    <row r="32">
      <c r="A32" s="10">
        <v>80.0</v>
      </c>
      <c r="B32" s="10">
        <v>15.0</v>
      </c>
      <c r="C32" s="53">
        <v>0.02</v>
      </c>
      <c r="D32" s="54">
        <v>15.0</v>
      </c>
      <c r="E32" s="55">
        <v>36995.0</v>
      </c>
      <c r="G32" s="55">
        <v>484867.0</v>
      </c>
    </row>
    <row r="33">
      <c r="A33" s="10">
        <v>81.0</v>
      </c>
      <c r="B33" s="10">
        <v>16.0</v>
      </c>
      <c r="C33" s="53">
        <v>0.02</v>
      </c>
      <c r="D33" s="54">
        <v>16.0</v>
      </c>
      <c r="E33" s="55">
        <v>37735.0</v>
      </c>
      <c r="G33" s="55">
        <v>522602.0</v>
      </c>
    </row>
    <row r="34">
      <c r="A34" s="10">
        <v>82.0</v>
      </c>
      <c r="B34" s="10">
        <v>17.0</v>
      </c>
      <c r="C34" s="53">
        <v>0.02</v>
      </c>
      <c r="D34" s="54">
        <v>17.0</v>
      </c>
      <c r="E34" s="55">
        <v>38490.0</v>
      </c>
      <c r="G34" s="55">
        <v>561092.0</v>
      </c>
    </row>
    <row r="35">
      <c r="A35" s="10">
        <v>83.0</v>
      </c>
      <c r="B35" s="10">
        <v>18.0</v>
      </c>
      <c r="C35" s="53">
        <v>0.02</v>
      </c>
      <c r="D35" s="54">
        <v>18.0</v>
      </c>
      <c r="E35" s="55">
        <v>39260.0</v>
      </c>
      <c r="G35" s="55">
        <v>600351.0</v>
      </c>
    </row>
    <row r="36">
      <c r="A36" s="10">
        <v>84.0</v>
      </c>
      <c r="B36" s="10">
        <v>19.0</v>
      </c>
      <c r="C36" s="53">
        <v>0.02</v>
      </c>
      <c r="D36" s="54">
        <v>19.0</v>
      </c>
      <c r="E36" s="55">
        <v>40045.0</v>
      </c>
      <c r="G36" s="55">
        <v>640396.0</v>
      </c>
    </row>
    <row r="37">
      <c r="A37" s="10">
        <v>85.0</v>
      </c>
      <c r="B37" s="10">
        <v>20.0</v>
      </c>
      <c r="C37" s="53">
        <v>0.02</v>
      </c>
      <c r="D37" s="54">
        <v>20.0</v>
      </c>
      <c r="E37" s="55">
        <v>40846.0</v>
      </c>
      <c r="G37" s="55">
        <v>681242.0</v>
      </c>
    </row>
    <row r="38">
      <c r="A38" s="62" t="e">
        <v>#N/A</v>
      </c>
      <c r="B38" s="62" t="e">
        <v>#N/A</v>
      </c>
      <c r="C38" s="62" t="e">
        <v>#N/A</v>
      </c>
      <c r="D38" s="63"/>
      <c r="E38" s="64" t="e">
        <v>#N/A</v>
      </c>
      <c r="G38" s="64" t="e">
        <v>#N/A</v>
      </c>
    </row>
    <row r="39">
      <c r="A39" s="62" t="e">
        <v>#N/A</v>
      </c>
      <c r="B39" s="62" t="e">
        <v>#N/A</v>
      </c>
      <c r="C39" s="62" t="e">
        <v>#N/A</v>
      </c>
      <c r="D39" s="63"/>
      <c r="E39" s="64" t="e">
        <v>#N/A</v>
      </c>
      <c r="G39" s="64" t="e">
        <v>#N/A</v>
      </c>
    </row>
    <row r="40">
      <c r="A40" s="62" t="e">
        <v>#N/A</v>
      </c>
      <c r="B40" s="62" t="e">
        <v>#N/A</v>
      </c>
      <c r="C40" s="62" t="e">
        <v>#N/A</v>
      </c>
      <c r="D40" s="63"/>
      <c r="E40" s="64" t="e">
        <v>#N/A</v>
      </c>
      <c r="G40" s="64" t="e">
        <v>#N/A</v>
      </c>
    </row>
    <row r="41">
      <c r="A41" s="62" t="e">
        <v>#N/A</v>
      </c>
      <c r="B41" s="62" t="e">
        <v>#N/A</v>
      </c>
      <c r="C41" s="62" t="e">
        <v>#N/A</v>
      </c>
      <c r="D41" s="63"/>
      <c r="E41" s="64" t="e">
        <v>#N/A</v>
      </c>
      <c r="G41" s="64" t="e">
        <v>#N/A</v>
      </c>
    </row>
    <row r="42">
      <c r="A42" s="62" t="e">
        <v>#N/A</v>
      </c>
      <c r="B42" s="62" t="e">
        <v>#N/A</v>
      </c>
      <c r="C42" s="62" t="e">
        <v>#N/A</v>
      </c>
      <c r="D42" s="63"/>
      <c r="E42" s="64" t="e">
        <v>#N/A</v>
      </c>
      <c r="G42" s="64" t="e">
        <v>#N/A</v>
      </c>
    </row>
    <row r="43">
      <c r="A43" s="62" t="e">
        <v>#N/A</v>
      </c>
      <c r="B43" s="62" t="e">
        <v>#N/A</v>
      </c>
      <c r="C43" s="62" t="e">
        <v>#N/A</v>
      </c>
      <c r="D43" s="63"/>
      <c r="E43" s="64" t="e">
        <v>#N/A</v>
      </c>
      <c r="G43" s="64" t="e">
        <v>#N/A</v>
      </c>
    </row>
    <row r="44">
      <c r="A44" s="62" t="e">
        <v>#N/A</v>
      </c>
      <c r="B44" s="62" t="e">
        <v>#N/A</v>
      </c>
      <c r="C44" s="62" t="e">
        <v>#N/A</v>
      </c>
      <c r="D44" s="63"/>
      <c r="E44" s="64" t="e">
        <v>#N/A</v>
      </c>
      <c r="G44" s="64" t="e">
        <v>#N/A</v>
      </c>
    </row>
    <row r="45">
      <c r="A45" s="62" t="e">
        <v>#N/A</v>
      </c>
      <c r="B45" s="62" t="e">
        <v>#N/A</v>
      </c>
      <c r="C45" s="62" t="e">
        <v>#N/A</v>
      </c>
      <c r="D45" s="63"/>
      <c r="E45" s="64" t="e">
        <v>#N/A</v>
      </c>
      <c r="G45" s="64" t="e">
        <v>#N/A</v>
      </c>
    </row>
    <row r="46">
      <c r="A46" s="62" t="e">
        <v>#N/A</v>
      </c>
      <c r="B46" s="62" t="e">
        <v>#N/A</v>
      </c>
      <c r="C46" s="62" t="e">
        <v>#N/A</v>
      </c>
      <c r="D46" s="63"/>
      <c r="E46" s="64" t="e">
        <v>#N/A</v>
      </c>
      <c r="G46" s="64" t="e">
        <v>#N/A</v>
      </c>
    </row>
    <row r="47">
      <c r="A47" s="62" t="e">
        <v>#N/A</v>
      </c>
      <c r="B47" s="62" t="e">
        <v>#N/A</v>
      </c>
      <c r="C47" s="62" t="e">
        <v>#N/A</v>
      </c>
      <c r="D47" s="63"/>
      <c r="E47" s="64" t="e">
        <v>#N/A</v>
      </c>
      <c r="G47" s="64" t="e">
        <v>#N/A</v>
      </c>
    </row>
    <row r="48">
      <c r="A48" s="62" t="e">
        <v>#N/A</v>
      </c>
      <c r="B48" s="62" t="e">
        <v>#N/A</v>
      </c>
      <c r="C48" s="62" t="e">
        <v>#N/A</v>
      </c>
      <c r="D48" s="63"/>
      <c r="E48" s="64" t="e">
        <v>#N/A</v>
      </c>
      <c r="G48" s="64" t="e">
        <v>#N/A</v>
      </c>
    </row>
    <row r="49">
      <c r="A49" s="62" t="e">
        <v>#N/A</v>
      </c>
      <c r="B49" s="62" t="e">
        <v>#N/A</v>
      </c>
      <c r="C49" s="62" t="e">
        <v>#N/A</v>
      </c>
      <c r="D49" s="63"/>
      <c r="E49" s="64" t="e">
        <v>#N/A</v>
      </c>
      <c r="G49" s="64" t="e">
        <v>#N/A</v>
      </c>
    </row>
    <row r="50">
      <c r="A50" s="62" t="e">
        <v>#N/A</v>
      </c>
      <c r="B50" s="62" t="e">
        <v>#N/A</v>
      </c>
      <c r="C50" s="62" t="e">
        <v>#N/A</v>
      </c>
      <c r="D50" s="63"/>
      <c r="E50" s="64" t="e">
        <v>#N/A</v>
      </c>
      <c r="G50" s="64" t="e">
        <v>#N/A</v>
      </c>
    </row>
    <row r="51">
      <c r="A51" s="62" t="e">
        <v>#N/A</v>
      </c>
      <c r="B51" s="62" t="e">
        <v>#N/A</v>
      </c>
      <c r="C51" s="62" t="e">
        <v>#N/A</v>
      </c>
      <c r="D51" s="63"/>
      <c r="E51" s="64" t="e">
        <v>#N/A</v>
      </c>
      <c r="G51" s="64" t="e">
        <v>#N/A</v>
      </c>
    </row>
    <row r="52">
      <c r="A52" s="62" t="e">
        <v>#N/A</v>
      </c>
      <c r="B52" s="62" t="e">
        <v>#N/A</v>
      </c>
      <c r="C52" s="62" t="e">
        <v>#N/A</v>
      </c>
      <c r="D52" s="63"/>
      <c r="E52" s="64" t="e">
        <v>#N/A</v>
      </c>
      <c r="G52" s="64" t="e">
        <v>#N/A</v>
      </c>
    </row>
    <row r="53">
      <c r="A53" s="62" t="e">
        <v>#N/A</v>
      </c>
      <c r="B53" s="62" t="e">
        <v>#N/A</v>
      </c>
      <c r="C53" s="62" t="e">
        <v>#N/A</v>
      </c>
      <c r="D53" s="63"/>
      <c r="E53" s="64" t="e">
        <v>#N/A</v>
      </c>
      <c r="G53" s="64" t="e">
        <v>#N/A</v>
      </c>
    </row>
    <row r="54">
      <c r="A54" s="62" t="e">
        <v>#N/A</v>
      </c>
      <c r="B54" s="62" t="e">
        <v>#N/A</v>
      </c>
      <c r="C54" s="62" t="e">
        <v>#N/A</v>
      </c>
      <c r="D54" s="63"/>
      <c r="E54" s="64" t="e">
        <v>#N/A</v>
      </c>
      <c r="G54" s="64" t="e">
        <v>#N/A</v>
      </c>
    </row>
    <row r="55">
      <c r="A55" s="62" t="e">
        <v>#N/A</v>
      </c>
      <c r="B55" s="62" t="e">
        <v>#N/A</v>
      </c>
      <c r="C55" s="62" t="e">
        <v>#N/A</v>
      </c>
      <c r="D55" s="63"/>
      <c r="E55" s="64" t="e">
        <v>#N/A</v>
      </c>
      <c r="G55" s="64" t="e">
        <v>#N/A</v>
      </c>
    </row>
    <row r="56">
      <c r="A56" s="62" t="e">
        <v>#N/A</v>
      </c>
      <c r="B56" s="62" t="e">
        <v>#N/A</v>
      </c>
      <c r="C56" s="62" t="e">
        <v>#N/A</v>
      </c>
      <c r="D56" s="63"/>
      <c r="E56" s="64" t="e">
        <v>#N/A</v>
      </c>
      <c r="G56" s="64" t="e">
        <v>#N/A</v>
      </c>
    </row>
    <row r="57">
      <c r="A57" s="62" t="e">
        <v>#N/A</v>
      </c>
      <c r="B57" s="62" t="e">
        <v>#N/A</v>
      </c>
      <c r="C57" s="62" t="e">
        <v>#N/A</v>
      </c>
      <c r="D57" s="63"/>
      <c r="E57" s="64" t="e">
        <v>#N/A</v>
      </c>
      <c r="G57" s="64" t="e">
        <v>#N/A</v>
      </c>
    </row>
  </sheetData>
  <mergeCells count="91">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54:F54"/>
    <mergeCell ref="E55:F55"/>
    <mergeCell ref="E56:F56"/>
    <mergeCell ref="E57:F57"/>
    <mergeCell ref="E47:F47"/>
    <mergeCell ref="E48:F48"/>
    <mergeCell ref="E49:F49"/>
    <mergeCell ref="E50:F50"/>
    <mergeCell ref="E51:F51"/>
    <mergeCell ref="E52:F52"/>
    <mergeCell ref="E53:F53"/>
    <mergeCell ref="G41:H41"/>
    <mergeCell ref="G42:H42"/>
    <mergeCell ref="G43:H43"/>
    <mergeCell ref="G44:H44"/>
    <mergeCell ref="G45:H45"/>
    <mergeCell ref="G46:H46"/>
    <mergeCell ref="G47:H47"/>
    <mergeCell ref="G55:H55"/>
    <mergeCell ref="G56:H56"/>
    <mergeCell ref="G57:H57"/>
    <mergeCell ref="G48:H48"/>
    <mergeCell ref="G49:H49"/>
    <mergeCell ref="G50:H50"/>
    <mergeCell ref="G51:H51"/>
    <mergeCell ref="G52:H52"/>
    <mergeCell ref="G53:H53"/>
    <mergeCell ref="G54:H54"/>
    <mergeCell ref="A1:C1"/>
    <mergeCell ref="A3:B3"/>
    <mergeCell ref="A5:D5"/>
    <mergeCell ref="E5:H5"/>
    <mergeCell ref="A8:B8"/>
    <mergeCell ref="A9:B9"/>
    <mergeCell ref="A10:D10"/>
    <mergeCell ref="A11:D11"/>
    <mergeCell ref="A13:B13"/>
    <mergeCell ref="E16:F16"/>
    <mergeCell ref="G16:H16"/>
    <mergeCell ref="E18:F18"/>
    <mergeCell ref="G18:H18"/>
    <mergeCell ref="G19:H19"/>
    <mergeCell ref="E19:F19"/>
    <mergeCell ref="E20:F20"/>
    <mergeCell ref="G20:H20"/>
    <mergeCell ref="E21:F21"/>
    <mergeCell ref="G21:H21"/>
    <mergeCell ref="E22:F22"/>
    <mergeCell ref="G22:H22"/>
    <mergeCell ref="E23:F23"/>
    <mergeCell ref="G23:H23"/>
    <mergeCell ref="E24:F24"/>
    <mergeCell ref="G24:H24"/>
    <mergeCell ref="E25:F25"/>
    <mergeCell ref="G25:H25"/>
    <mergeCell ref="G26:H26"/>
    <mergeCell ref="E26:F26"/>
    <mergeCell ref="E27:F27"/>
    <mergeCell ref="E28:F28"/>
    <mergeCell ref="E29:F29"/>
    <mergeCell ref="E30:F30"/>
    <mergeCell ref="E31:F31"/>
    <mergeCell ref="E32:F32"/>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22.86"/>
    <col customWidth="1" min="2" max="3" width="14.0"/>
    <col customWidth="1" min="4" max="4" width="23.86"/>
    <col customWidth="1" min="5" max="5" width="15.0"/>
    <col customWidth="1" min="6" max="6" width="14.0"/>
    <col customWidth="1" min="7" max="7" width="21.0"/>
    <col customWidth="1" min="8" max="8" width="18.0"/>
    <col customWidth="1" min="9" max="9" width="21.29"/>
    <col customWidth="1" min="10" max="10" width="19.43"/>
    <col customWidth="1" min="11" max="11" width="17.29"/>
    <col customWidth="1" min="12" max="12" width="18.0"/>
    <col customWidth="1" min="13" max="13" width="18.29"/>
    <col customWidth="1" min="14" max="14" width="20.86"/>
    <col customWidth="1" min="15" max="15" width="15.43"/>
    <col customWidth="1" min="16" max="16" width="19.14"/>
    <col customWidth="1" min="17" max="17" width="18.0"/>
    <col customWidth="1" min="18" max="18" width="15.14"/>
    <col customWidth="1" min="19" max="19" width="22.0"/>
    <col customWidth="1" min="20" max="28" width="9.29"/>
    <col customWidth="1" min="29" max="118" width="10.29"/>
    <col customWidth="1" min="119" max="1018" width="11.29"/>
    <col customWidth="1" min="1019" max="10018" width="12.29"/>
    <col customWidth="1" min="10019" max="16384" width="13.29"/>
  </cols>
  <sheetData>
    <row r="1">
      <c r="A1" s="129" t="s">
        <v>198</v>
      </c>
      <c r="B1" s="130"/>
      <c r="C1" s="130"/>
      <c r="D1" s="130"/>
      <c r="E1" s="130"/>
      <c r="F1" s="130"/>
      <c r="G1" s="130"/>
      <c r="H1" s="130"/>
      <c r="I1" s="130"/>
      <c r="J1" s="130"/>
      <c r="K1" s="130"/>
      <c r="L1" s="130"/>
      <c r="M1" s="130"/>
      <c r="N1" s="130"/>
      <c r="O1" s="130"/>
      <c r="P1" s="130"/>
      <c r="Q1" s="130"/>
      <c r="R1" s="130"/>
      <c r="S1" s="130"/>
    </row>
    <row r="2">
      <c r="A2" s="130"/>
      <c r="B2" s="130"/>
      <c r="C2" s="130"/>
      <c r="D2" s="130"/>
      <c r="E2" s="130"/>
      <c r="F2" s="130"/>
      <c r="G2" s="130"/>
      <c r="H2" s="130"/>
      <c r="I2" s="130"/>
      <c r="J2" s="130"/>
      <c r="K2" s="130"/>
      <c r="L2" s="130"/>
      <c r="M2" s="130"/>
      <c r="N2" s="130"/>
      <c r="O2" s="130"/>
      <c r="P2" s="130"/>
      <c r="Q2" s="130"/>
      <c r="R2" s="130"/>
      <c r="S2" s="130"/>
    </row>
    <row r="3">
      <c r="A3" s="131" t="s">
        <v>199</v>
      </c>
      <c r="B3" s="132">
        <v>0.06</v>
      </c>
      <c r="C3" s="130"/>
      <c r="D3" s="131" t="s">
        <v>200</v>
      </c>
      <c r="E3" s="133">
        <v>24000.0</v>
      </c>
      <c r="F3" s="130"/>
      <c r="G3" s="130"/>
      <c r="H3" s="130"/>
      <c r="I3" s="130"/>
      <c r="J3" s="130"/>
      <c r="K3" s="130"/>
      <c r="L3" s="130"/>
      <c r="M3" s="130"/>
      <c r="N3" s="130"/>
      <c r="O3" s="130"/>
      <c r="P3" s="130"/>
      <c r="Q3" s="130"/>
      <c r="R3" s="130"/>
      <c r="S3" s="130"/>
    </row>
    <row r="4">
      <c r="A4" s="131" t="s">
        <v>201</v>
      </c>
      <c r="B4" s="132">
        <v>0.04</v>
      </c>
      <c r="C4" s="130"/>
      <c r="D4" s="131" t="s">
        <v>202</v>
      </c>
      <c r="E4" s="133">
        <v>30000.0</v>
      </c>
      <c r="F4" s="130"/>
      <c r="G4" s="130"/>
      <c r="H4" s="130"/>
      <c r="I4" s="130"/>
      <c r="J4" s="130"/>
      <c r="K4" s="130"/>
      <c r="L4" s="130"/>
      <c r="M4" s="130"/>
      <c r="N4" s="130"/>
      <c r="O4" s="130"/>
      <c r="P4" s="130"/>
      <c r="Q4" s="130"/>
      <c r="R4" s="130"/>
      <c r="S4" s="130"/>
    </row>
    <row r="5">
      <c r="A5" s="131" t="s">
        <v>203</v>
      </c>
      <c r="B5" s="132">
        <v>0.03</v>
      </c>
      <c r="C5" s="130"/>
      <c r="D5" s="131" t="s">
        <v>204</v>
      </c>
      <c r="E5" s="133">
        <v>100000.0</v>
      </c>
      <c r="F5" s="130"/>
      <c r="G5" s="130"/>
      <c r="H5" s="130"/>
      <c r="I5" s="130"/>
      <c r="J5" s="130"/>
      <c r="K5" s="130"/>
      <c r="L5" s="130"/>
      <c r="M5" s="130"/>
      <c r="N5" s="130"/>
      <c r="O5" s="130"/>
      <c r="P5" s="130"/>
      <c r="Q5" s="130"/>
      <c r="R5" s="130"/>
      <c r="S5" s="130"/>
    </row>
    <row r="6">
      <c r="A6" s="131" t="s">
        <v>205</v>
      </c>
      <c r="B6" s="133">
        <v>71313.29</v>
      </c>
      <c r="C6" s="130"/>
      <c r="D6" s="131" t="s">
        <v>206</v>
      </c>
      <c r="E6" s="133">
        <v>4800.0</v>
      </c>
      <c r="F6" s="130"/>
      <c r="G6" s="130"/>
      <c r="H6" s="130"/>
      <c r="I6" s="130"/>
      <c r="J6" s="130"/>
      <c r="K6" s="130"/>
      <c r="L6" s="130"/>
      <c r="M6" s="130"/>
      <c r="N6" s="130"/>
      <c r="O6" s="130"/>
      <c r="P6" s="130"/>
      <c r="Q6" s="130"/>
      <c r="R6" s="130"/>
      <c r="S6" s="130"/>
    </row>
    <row r="7">
      <c r="A7" s="131" t="s">
        <v>207</v>
      </c>
      <c r="B7" s="133">
        <v>15673.0</v>
      </c>
      <c r="C7" s="130"/>
      <c r="D7" s="131" t="s">
        <v>208</v>
      </c>
      <c r="E7" s="134">
        <v>-1.0</v>
      </c>
      <c r="F7" s="130"/>
      <c r="G7" s="130"/>
      <c r="H7" s="130"/>
      <c r="I7" s="130"/>
      <c r="J7" s="130"/>
      <c r="K7" s="130"/>
      <c r="L7" s="130"/>
      <c r="M7" s="130"/>
      <c r="N7" s="130"/>
      <c r="O7" s="130"/>
      <c r="P7" s="130"/>
      <c r="Q7" s="130"/>
      <c r="R7" s="130"/>
      <c r="S7" s="130"/>
    </row>
    <row r="8">
      <c r="A8" s="131" t="s">
        <v>209</v>
      </c>
      <c r="B8" s="133">
        <v>500000.0</v>
      </c>
      <c r="C8" s="130"/>
      <c r="D8" s="131" t="s">
        <v>210</v>
      </c>
      <c r="E8" s="133">
        <v>84600.0</v>
      </c>
      <c r="F8" s="130"/>
      <c r="G8" s="130"/>
      <c r="H8" s="130"/>
      <c r="I8" s="130"/>
      <c r="J8" s="130"/>
      <c r="K8" s="130"/>
      <c r="L8" s="130"/>
      <c r="M8" s="130"/>
      <c r="N8" s="130"/>
      <c r="O8" s="130"/>
      <c r="P8" s="130"/>
      <c r="Q8" s="130"/>
      <c r="R8" s="130"/>
      <c r="S8" s="130"/>
    </row>
    <row r="9">
      <c r="A9" s="131" t="s">
        <v>211</v>
      </c>
      <c r="B9" s="133">
        <v>1476432.85</v>
      </c>
      <c r="C9" s="130"/>
      <c r="D9" s="131" t="s">
        <v>212</v>
      </c>
      <c r="E9" s="133">
        <v>85000.0</v>
      </c>
      <c r="F9" s="130"/>
      <c r="G9" s="130"/>
      <c r="H9" s="130"/>
      <c r="I9" s="130"/>
      <c r="J9" s="130"/>
      <c r="K9" s="130"/>
      <c r="L9" s="130"/>
      <c r="M9" s="130"/>
      <c r="N9" s="130"/>
      <c r="O9" s="130"/>
      <c r="P9" s="130"/>
      <c r="Q9" s="130"/>
      <c r="R9" s="130"/>
      <c r="S9" s="130"/>
    </row>
    <row r="10">
      <c r="A10" s="131" t="s">
        <v>213</v>
      </c>
      <c r="B10" s="133">
        <v>430967.93</v>
      </c>
      <c r="C10" s="130"/>
      <c r="D10" s="130"/>
      <c r="E10" s="130"/>
      <c r="F10" s="130"/>
      <c r="G10" s="130"/>
      <c r="H10" s="130"/>
      <c r="I10" s="130"/>
      <c r="J10" s="130"/>
      <c r="K10" s="130"/>
      <c r="L10" s="130"/>
      <c r="M10" s="130"/>
      <c r="N10" s="130"/>
      <c r="O10" s="130"/>
      <c r="P10" s="130"/>
      <c r="Q10" s="130"/>
      <c r="R10" s="130"/>
      <c r="S10" s="130"/>
    </row>
    <row r="11">
      <c r="A11" s="130"/>
      <c r="B11" s="130"/>
      <c r="C11" s="130"/>
      <c r="D11" s="130"/>
      <c r="E11" s="130"/>
      <c r="F11" s="130"/>
      <c r="G11" s="130"/>
      <c r="H11" s="130"/>
      <c r="I11" s="130"/>
      <c r="J11" s="130"/>
      <c r="K11" s="130"/>
      <c r="L11" s="130"/>
      <c r="M11" s="130"/>
      <c r="N11" s="130"/>
      <c r="O11" s="130"/>
      <c r="P11" s="130"/>
      <c r="Q11" s="130"/>
      <c r="R11" s="130"/>
      <c r="S11" s="130"/>
    </row>
    <row r="12">
      <c r="A12" s="130"/>
      <c r="B12" s="130"/>
      <c r="C12" s="130"/>
      <c r="D12" s="130"/>
      <c r="E12" s="130"/>
      <c r="F12" s="130"/>
      <c r="G12" s="130"/>
      <c r="H12" s="130"/>
      <c r="I12" s="130"/>
      <c r="J12" s="130"/>
      <c r="K12" s="130"/>
      <c r="L12" s="130"/>
      <c r="M12" s="130"/>
      <c r="N12" s="130"/>
      <c r="O12" s="130"/>
      <c r="P12" s="130"/>
      <c r="Q12" s="130"/>
      <c r="R12" s="130"/>
      <c r="S12" s="130"/>
    </row>
    <row r="13">
      <c r="A13" s="130"/>
      <c r="B13" s="130"/>
      <c r="C13" s="130"/>
      <c r="D13" s="130"/>
      <c r="E13" s="130"/>
      <c r="F13" s="130"/>
      <c r="G13" s="130"/>
      <c r="H13" s="130"/>
      <c r="I13" s="130"/>
      <c r="J13" s="130"/>
      <c r="K13" s="130"/>
      <c r="L13" s="130"/>
      <c r="M13" s="130"/>
      <c r="N13" s="130"/>
      <c r="O13" s="130"/>
      <c r="P13" s="130"/>
      <c r="Q13" s="130"/>
      <c r="R13" s="130"/>
      <c r="S13" s="130"/>
    </row>
    <row r="14">
      <c r="A14" s="135" t="s">
        <v>16</v>
      </c>
      <c r="B14" s="136" t="s">
        <v>35</v>
      </c>
      <c r="C14" s="136" t="s">
        <v>32</v>
      </c>
      <c r="D14" s="136" t="s">
        <v>214</v>
      </c>
      <c r="E14" s="136" t="s">
        <v>215</v>
      </c>
      <c r="F14" s="136" t="s">
        <v>216</v>
      </c>
      <c r="G14" s="136" t="s">
        <v>217</v>
      </c>
      <c r="H14" s="136" t="s">
        <v>218</v>
      </c>
      <c r="I14" s="136" t="s">
        <v>219</v>
      </c>
      <c r="J14" s="136" t="s">
        <v>220</v>
      </c>
      <c r="K14" s="136" t="s">
        <v>221</v>
      </c>
      <c r="L14" s="136" t="s">
        <v>222</v>
      </c>
      <c r="M14" s="136" t="s">
        <v>223</v>
      </c>
      <c r="N14" s="136" t="s">
        <v>224</v>
      </c>
      <c r="O14" s="136" t="s">
        <v>225</v>
      </c>
      <c r="P14" s="136" t="s">
        <v>226</v>
      </c>
      <c r="Q14" s="136" t="s">
        <v>227</v>
      </c>
      <c r="R14" s="136" t="s">
        <v>228</v>
      </c>
      <c r="S14" s="136" t="s">
        <v>229</v>
      </c>
      <c r="T14" s="137" t="s">
        <v>230</v>
      </c>
      <c r="U14" s="137" t="s">
        <v>231</v>
      </c>
      <c r="V14" s="137" t="s">
        <v>232</v>
      </c>
      <c r="W14" s="137" t="s">
        <v>233</v>
      </c>
      <c r="X14" s="137" t="s">
        <v>234</v>
      </c>
      <c r="Y14" s="137" t="s">
        <v>235</v>
      </c>
      <c r="Z14" s="137" t="s">
        <v>236</v>
      </c>
      <c r="AA14" s="137" t="s">
        <v>237</v>
      </c>
      <c r="AB14" s="137" t="s">
        <v>238</v>
      </c>
      <c r="AC14" s="137" t="s">
        <v>239</v>
      </c>
      <c r="AD14" s="137" t="s">
        <v>240</v>
      </c>
      <c r="AE14" s="137" t="s">
        <v>241</v>
      </c>
      <c r="AF14" s="137" t="s">
        <v>242</v>
      </c>
      <c r="AG14" s="137" t="s">
        <v>243</v>
      </c>
      <c r="AH14" s="137" t="s">
        <v>244</v>
      </c>
      <c r="AI14" s="137" t="s">
        <v>245</v>
      </c>
      <c r="AJ14" s="137" t="s">
        <v>246</v>
      </c>
      <c r="AK14" s="137" t="s">
        <v>247</v>
      </c>
      <c r="AL14" s="137" t="s">
        <v>248</v>
      </c>
      <c r="AM14" s="137" t="s">
        <v>249</v>
      </c>
      <c r="AN14" s="137" t="s">
        <v>250</v>
      </c>
      <c r="AO14" s="137" t="s">
        <v>251</v>
      </c>
      <c r="AP14" s="137" t="s">
        <v>252</v>
      </c>
      <c r="AQ14" s="137" t="s">
        <v>253</v>
      </c>
      <c r="AR14" s="137" t="s">
        <v>254</v>
      </c>
      <c r="AS14" s="137" t="s">
        <v>255</v>
      </c>
      <c r="AT14" s="137" t="s">
        <v>256</v>
      </c>
      <c r="AU14" s="137" t="s">
        <v>257</v>
      </c>
      <c r="AV14" s="137" t="s">
        <v>258</v>
      </c>
      <c r="AW14" s="137" t="s">
        <v>259</v>
      </c>
      <c r="AX14" s="137" t="s">
        <v>260</v>
      </c>
      <c r="AY14" s="137" t="s">
        <v>261</v>
      </c>
      <c r="AZ14" s="137" t="s">
        <v>262</v>
      </c>
      <c r="BA14" s="137" t="s">
        <v>263</v>
      </c>
      <c r="BB14" s="137" t="s">
        <v>264</v>
      </c>
      <c r="BC14" s="137" t="s">
        <v>265</v>
      </c>
      <c r="BD14" s="137" t="s">
        <v>266</v>
      </c>
      <c r="BE14" s="137" t="s">
        <v>267</v>
      </c>
      <c r="BF14" s="137" t="s">
        <v>268</v>
      </c>
      <c r="BG14" s="137" t="s">
        <v>269</v>
      </c>
      <c r="BH14" s="137" t="s">
        <v>270</v>
      </c>
      <c r="BI14" s="137" t="s">
        <v>271</v>
      </c>
      <c r="BJ14" s="137" t="s">
        <v>272</v>
      </c>
      <c r="BK14" s="137" t="s">
        <v>273</v>
      </c>
      <c r="BL14" s="137" t="s">
        <v>274</v>
      </c>
      <c r="BM14" s="137" t="s">
        <v>275</v>
      </c>
      <c r="BN14" s="137" t="s">
        <v>276</v>
      </c>
      <c r="BO14" s="137" t="s">
        <v>277</v>
      </c>
      <c r="BP14" s="137" t="s">
        <v>278</v>
      </c>
      <c r="BQ14" s="137" t="s">
        <v>279</v>
      </c>
      <c r="BR14" s="137" t="s">
        <v>280</v>
      </c>
      <c r="BS14" s="137" t="s">
        <v>281</v>
      </c>
      <c r="BT14" s="137" t="s">
        <v>282</v>
      </c>
      <c r="BU14" s="137" t="s">
        <v>283</v>
      </c>
      <c r="BV14" s="137" t="s">
        <v>284</v>
      </c>
      <c r="BW14" s="137" t="s">
        <v>285</v>
      </c>
      <c r="BX14" s="137" t="s">
        <v>286</v>
      </c>
      <c r="BY14" s="137" t="s">
        <v>287</v>
      </c>
      <c r="BZ14" s="137" t="s">
        <v>288</v>
      </c>
      <c r="CA14" s="137" t="s">
        <v>289</v>
      </c>
      <c r="CB14" s="137" t="s">
        <v>290</v>
      </c>
      <c r="CC14" s="137" t="s">
        <v>291</v>
      </c>
      <c r="CD14" s="137" t="s">
        <v>292</v>
      </c>
      <c r="CE14" s="137" t="s">
        <v>293</v>
      </c>
      <c r="CF14" s="137" t="s">
        <v>294</v>
      </c>
      <c r="CG14" s="137" t="s">
        <v>295</v>
      </c>
      <c r="CH14" s="137" t="s">
        <v>296</v>
      </c>
      <c r="CI14" s="137" t="s">
        <v>297</v>
      </c>
      <c r="CJ14" s="137" t="s">
        <v>298</v>
      </c>
      <c r="CK14" s="137" t="s">
        <v>299</v>
      </c>
      <c r="CL14" s="137" t="s">
        <v>300</v>
      </c>
      <c r="CM14" s="137" t="s">
        <v>301</v>
      </c>
      <c r="CN14" s="137" t="s">
        <v>302</v>
      </c>
      <c r="CO14" s="137" t="s">
        <v>303</v>
      </c>
      <c r="CP14" s="137" t="s">
        <v>304</v>
      </c>
      <c r="CQ14" s="137" t="s">
        <v>305</v>
      </c>
      <c r="CR14" s="137" t="s">
        <v>306</v>
      </c>
      <c r="CS14" s="137" t="s">
        <v>307</v>
      </c>
      <c r="CT14" s="137" t="s">
        <v>308</v>
      </c>
      <c r="CU14" s="137" t="s">
        <v>309</v>
      </c>
      <c r="CV14" s="137" t="s">
        <v>310</v>
      </c>
      <c r="CW14" s="137" t="s">
        <v>311</v>
      </c>
      <c r="CX14" s="137" t="s">
        <v>312</v>
      </c>
      <c r="CY14" s="137" t="s">
        <v>313</v>
      </c>
      <c r="CZ14" s="137" t="s">
        <v>314</v>
      </c>
      <c r="DA14" s="137" t="s">
        <v>315</v>
      </c>
      <c r="DB14" s="137" t="s">
        <v>316</v>
      </c>
      <c r="DC14" s="137" t="s">
        <v>317</v>
      </c>
      <c r="DD14" s="137" t="s">
        <v>318</v>
      </c>
      <c r="DE14" s="137" t="s">
        <v>319</v>
      </c>
      <c r="DF14" s="137" t="s">
        <v>320</v>
      </c>
      <c r="DG14" s="137" t="s">
        <v>321</v>
      </c>
      <c r="DH14" s="137" t="s">
        <v>322</v>
      </c>
      <c r="DI14" s="137" t="s">
        <v>323</v>
      </c>
      <c r="DJ14" s="137" t="s">
        <v>324</v>
      </c>
      <c r="DK14" s="137" t="s">
        <v>325</v>
      </c>
      <c r="DL14" s="137" t="s">
        <v>326</v>
      </c>
      <c r="DM14" s="137" t="s">
        <v>327</v>
      </c>
      <c r="DN14" s="137" t="s">
        <v>328</v>
      </c>
      <c r="DO14" s="137" t="s">
        <v>329</v>
      </c>
      <c r="DP14" s="137" t="s">
        <v>330</v>
      </c>
      <c r="DQ14" s="137" t="s">
        <v>331</v>
      </c>
      <c r="DR14" s="137" t="s">
        <v>332</v>
      </c>
      <c r="DS14" s="137" t="s">
        <v>333</v>
      </c>
      <c r="DT14" s="137" t="s">
        <v>334</v>
      </c>
      <c r="DU14" s="137" t="s">
        <v>335</v>
      </c>
      <c r="DV14" s="137" t="s">
        <v>336</v>
      </c>
      <c r="DW14" s="137" t="s">
        <v>337</v>
      </c>
      <c r="DX14" s="137" t="s">
        <v>338</v>
      </c>
      <c r="DY14" s="137" t="s">
        <v>339</v>
      </c>
      <c r="DZ14" s="137" t="s">
        <v>340</v>
      </c>
      <c r="EA14" s="137" t="s">
        <v>341</v>
      </c>
      <c r="EB14" s="137" t="s">
        <v>342</v>
      </c>
      <c r="EC14" s="137" t="s">
        <v>343</v>
      </c>
      <c r="ED14" s="137" t="s">
        <v>344</v>
      </c>
      <c r="EE14" s="137" t="s">
        <v>345</v>
      </c>
      <c r="EF14" s="137" t="s">
        <v>346</v>
      </c>
      <c r="EG14" s="137" t="s">
        <v>347</v>
      </c>
      <c r="EH14" s="137" t="s">
        <v>348</v>
      </c>
      <c r="EI14" s="137" t="s">
        <v>349</v>
      </c>
      <c r="EJ14" s="137" t="s">
        <v>350</v>
      </c>
      <c r="EK14" s="137" t="s">
        <v>351</v>
      </c>
      <c r="EL14" s="137" t="s">
        <v>352</v>
      </c>
      <c r="EM14" s="137" t="s">
        <v>353</v>
      </c>
      <c r="EN14" s="137" t="s">
        <v>354</v>
      </c>
      <c r="EO14" s="137" t="s">
        <v>355</v>
      </c>
      <c r="EP14" s="137" t="s">
        <v>356</v>
      </c>
      <c r="EQ14" s="137" t="s">
        <v>357</v>
      </c>
      <c r="ER14" s="137" t="s">
        <v>358</v>
      </c>
      <c r="ES14" s="137" t="s">
        <v>359</v>
      </c>
      <c r="ET14" s="137" t="s">
        <v>360</v>
      </c>
      <c r="EU14" s="137" t="s">
        <v>361</v>
      </c>
      <c r="EV14" s="137" t="s">
        <v>362</v>
      </c>
      <c r="EW14" s="137" t="s">
        <v>363</v>
      </c>
      <c r="EX14" s="137" t="s">
        <v>364</v>
      </c>
      <c r="EY14" s="137" t="s">
        <v>365</v>
      </c>
      <c r="EZ14" s="137" t="s">
        <v>366</v>
      </c>
      <c r="FA14" s="137" t="s">
        <v>367</v>
      </c>
      <c r="FB14" s="137" t="s">
        <v>368</v>
      </c>
      <c r="FC14" s="137" t="s">
        <v>369</v>
      </c>
      <c r="FD14" s="137" t="s">
        <v>370</v>
      </c>
      <c r="FE14" s="137" t="s">
        <v>371</v>
      </c>
      <c r="FF14" s="137" t="s">
        <v>372</v>
      </c>
      <c r="FG14" s="137" t="s">
        <v>373</v>
      </c>
      <c r="FH14" s="137" t="s">
        <v>374</v>
      </c>
      <c r="FI14" s="137" t="s">
        <v>375</v>
      </c>
      <c r="FJ14" s="137" t="s">
        <v>376</v>
      </c>
      <c r="FK14" s="137" t="s">
        <v>377</v>
      </c>
      <c r="FL14" s="137" t="s">
        <v>378</v>
      </c>
      <c r="FM14" s="137" t="s">
        <v>379</v>
      </c>
      <c r="FN14" s="137" t="s">
        <v>380</v>
      </c>
      <c r="FO14" s="137" t="s">
        <v>381</v>
      </c>
      <c r="FP14" s="137" t="s">
        <v>382</v>
      </c>
      <c r="FQ14" s="137" t="s">
        <v>383</v>
      </c>
      <c r="FR14" s="137" t="s">
        <v>384</v>
      </c>
      <c r="FS14" s="137" t="s">
        <v>385</v>
      </c>
      <c r="FT14" s="137" t="s">
        <v>386</v>
      </c>
      <c r="FU14" s="137" t="s">
        <v>387</v>
      </c>
      <c r="FV14" s="137" t="s">
        <v>388</v>
      </c>
      <c r="FW14" s="137" t="s">
        <v>389</v>
      </c>
      <c r="FX14" s="137" t="s">
        <v>390</v>
      </c>
      <c r="FY14" s="137" t="s">
        <v>391</v>
      </c>
      <c r="FZ14" s="137" t="s">
        <v>392</v>
      </c>
      <c r="GA14" s="137" t="s">
        <v>393</v>
      </c>
      <c r="GB14" s="137" t="s">
        <v>394</v>
      </c>
      <c r="GC14" s="137" t="s">
        <v>395</v>
      </c>
      <c r="GD14" s="137" t="s">
        <v>396</v>
      </c>
      <c r="GE14" s="137" t="s">
        <v>397</v>
      </c>
      <c r="GF14" s="137" t="s">
        <v>398</v>
      </c>
      <c r="GG14" s="137" t="s">
        <v>399</v>
      </c>
      <c r="GH14" s="137" t="s">
        <v>400</v>
      </c>
      <c r="GI14" s="137" t="s">
        <v>401</v>
      </c>
      <c r="GJ14" s="137" t="s">
        <v>402</v>
      </c>
      <c r="GK14" s="137" t="s">
        <v>403</v>
      </c>
      <c r="GL14" s="137" t="s">
        <v>404</v>
      </c>
      <c r="GM14" s="137" t="s">
        <v>405</v>
      </c>
      <c r="GN14" s="137" t="s">
        <v>406</v>
      </c>
      <c r="GO14" s="137" t="s">
        <v>407</v>
      </c>
      <c r="GP14" s="137" t="s">
        <v>408</v>
      </c>
      <c r="GQ14" s="137" t="s">
        <v>409</v>
      </c>
      <c r="GR14" s="137" t="s">
        <v>410</v>
      </c>
      <c r="GS14" s="137" t="s">
        <v>411</v>
      </c>
      <c r="GT14" s="137" t="s">
        <v>412</v>
      </c>
      <c r="GU14" s="137" t="s">
        <v>413</v>
      </c>
      <c r="GV14" s="137" t="s">
        <v>414</v>
      </c>
      <c r="GW14" s="137" t="s">
        <v>415</v>
      </c>
      <c r="GX14" s="137" t="s">
        <v>416</v>
      </c>
      <c r="GY14" s="137" t="s">
        <v>417</v>
      </c>
      <c r="GZ14" s="137" t="s">
        <v>418</v>
      </c>
      <c r="HA14" s="137" t="s">
        <v>419</v>
      </c>
      <c r="HB14" s="137" t="s">
        <v>420</v>
      </c>
      <c r="HC14" s="137" t="s">
        <v>421</v>
      </c>
      <c r="HD14" s="137" t="s">
        <v>422</v>
      </c>
      <c r="HE14" s="137" t="s">
        <v>423</v>
      </c>
      <c r="HF14" s="137" t="s">
        <v>424</v>
      </c>
      <c r="HG14" s="137" t="s">
        <v>425</v>
      </c>
      <c r="HH14" s="137" t="s">
        <v>426</v>
      </c>
      <c r="HI14" s="137" t="s">
        <v>427</v>
      </c>
      <c r="HJ14" s="137" t="s">
        <v>428</v>
      </c>
      <c r="HK14" s="137" t="s">
        <v>429</v>
      </c>
      <c r="HL14" s="137" t="s">
        <v>430</v>
      </c>
      <c r="HM14" s="137" t="s">
        <v>431</v>
      </c>
      <c r="HN14" s="137" t="s">
        <v>432</v>
      </c>
      <c r="HO14" s="137" t="s">
        <v>433</v>
      </c>
      <c r="HP14" s="137" t="s">
        <v>434</v>
      </c>
      <c r="HQ14" s="137" t="s">
        <v>435</v>
      </c>
      <c r="HR14" s="137" t="s">
        <v>436</v>
      </c>
      <c r="HS14" s="137" t="s">
        <v>437</v>
      </c>
      <c r="HT14" s="137" t="s">
        <v>438</v>
      </c>
      <c r="HU14" s="137" t="s">
        <v>439</v>
      </c>
      <c r="HV14" s="137" t="s">
        <v>440</v>
      </c>
      <c r="HW14" s="137" t="s">
        <v>441</v>
      </c>
      <c r="HX14" s="137" t="s">
        <v>442</v>
      </c>
      <c r="HY14" s="137" t="s">
        <v>443</v>
      </c>
      <c r="HZ14" s="137" t="s">
        <v>444</v>
      </c>
      <c r="IA14" s="137" t="s">
        <v>445</v>
      </c>
      <c r="IB14" s="137" t="s">
        <v>446</v>
      </c>
      <c r="IC14" s="137" t="s">
        <v>447</v>
      </c>
      <c r="ID14" s="137" t="s">
        <v>448</v>
      </c>
      <c r="IE14" s="137" t="s">
        <v>449</v>
      </c>
      <c r="IF14" s="137" t="s">
        <v>450</v>
      </c>
      <c r="IG14" s="137" t="s">
        <v>451</v>
      </c>
      <c r="IH14" s="137" t="s">
        <v>452</v>
      </c>
      <c r="II14" s="137" t="s">
        <v>453</v>
      </c>
      <c r="IJ14" s="137" t="s">
        <v>454</v>
      </c>
      <c r="IK14" s="137" t="s">
        <v>455</v>
      </c>
      <c r="IL14" s="137" t="s">
        <v>456</v>
      </c>
      <c r="IM14" s="137" t="s">
        <v>457</v>
      </c>
      <c r="IN14" s="137" t="s">
        <v>458</v>
      </c>
      <c r="IO14" s="137" t="s">
        <v>459</v>
      </c>
      <c r="IP14" s="137" t="s">
        <v>460</v>
      </c>
      <c r="IQ14" s="137" t="s">
        <v>461</v>
      </c>
      <c r="IR14" s="137" t="s">
        <v>462</v>
      </c>
      <c r="IS14" s="137" t="s">
        <v>463</v>
      </c>
      <c r="IT14" s="137" t="s">
        <v>464</v>
      </c>
      <c r="IU14" s="137" t="s">
        <v>465</v>
      </c>
      <c r="IV14" s="137" t="s">
        <v>466</v>
      </c>
      <c r="IW14" s="137" t="s">
        <v>467</v>
      </c>
      <c r="IX14" s="137" t="s">
        <v>468</v>
      </c>
      <c r="IY14" s="137" t="s">
        <v>469</v>
      </c>
      <c r="IZ14" s="137" t="s">
        <v>470</v>
      </c>
      <c r="JA14" s="137" t="s">
        <v>471</v>
      </c>
      <c r="JB14" s="137" t="s">
        <v>472</v>
      </c>
      <c r="JC14" s="137" t="s">
        <v>473</v>
      </c>
      <c r="JD14" s="137" t="s">
        <v>474</v>
      </c>
      <c r="JE14" s="137" t="s">
        <v>475</v>
      </c>
      <c r="JF14" s="137" t="s">
        <v>476</v>
      </c>
      <c r="JG14" s="137" t="s">
        <v>477</v>
      </c>
      <c r="JH14" s="137" t="s">
        <v>478</v>
      </c>
      <c r="JI14" s="137" t="s">
        <v>479</v>
      </c>
      <c r="JJ14" s="137" t="s">
        <v>480</v>
      </c>
      <c r="JK14" s="137" t="s">
        <v>481</v>
      </c>
      <c r="JL14" s="137" t="s">
        <v>482</v>
      </c>
      <c r="JM14" s="137" t="s">
        <v>483</v>
      </c>
      <c r="JN14" s="137" t="s">
        <v>484</v>
      </c>
      <c r="JO14" s="137" t="s">
        <v>485</v>
      </c>
      <c r="JP14" s="137" t="s">
        <v>486</v>
      </c>
      <c r="JQ14" s="137" t="s">
        <v>487</v>
      </c>
      <c r="JR14" s="137" t="s">
        <v>488</v>
      </c>
      <c r="JS14" s="137" t="s">
        <v>489</v>
      </c>
      <c r="JT14" s="137" t="s">
        <v>490</v>
      </c>
      <c r="JU14" s="137" t="s">
        <v>491</v>
      </c>
      <c r="JV14" s="137" t="s">
        <v>492</v>
      </c>
      <c r="JW14" s="137" t="s">
        <v>493</v>
      </c>
      <c r="JX14" s="137" t="s">
        <v>494</v>
      </c>
      <c r="JY14" s="137" t="s">
        <v>495</v>
      </c>
      <c r="JZ14" s="137" t="s">
        <v>496</v>
      </c>
      <c r="KA14" s="137" t="s">
        <v>497</v>
      </c>
      <c r="KB14" s="137" t="s">
        <v>498</v>
      </c>
      <c r="KC14" s="137" t="s">
        <v>499</v>
      </c>
      <c r="KD14" s="137" t="s">
        <v>500</v>
      </c>
      <c r="KE14" s="137" t="s">
        <v>501</v>
      </c>
      <c r="KF14" s="137" t="s">
        <v>502</v>
      </c>
      <c r="KG14" s="137" t="s">
        <v>503</v>
      </c>
      <c r="KH14" s="137" t="s">
        <v>504</v>
      </c>
      <c r="KI14" s="137" t="s">
        <v>505</v>
      </c>
      <c r="KJ14" s="137" t="s">
        <v>506</v>
      </c>
      <c r="KK14" s="137" t="s">
        <v>507</v>
      </c>
      <c r="KL14" s="137" t="s">
        <v>508</v>
      </c>
      <c r="KM14" s="137" t="s">
        <v>509</v>
      </c>
      <c r="KN14" s="137" t="s">
        <v>510</v>
      </c>
      <c r="KO14" s="137" t="s">
        <v>511</v>
      </c>
      <c r="KP14" s="137" t="s">
        <v>512</v>
      </c>
      <c r="KQ14" s="137" t="s">
        <v>513</v>
      </c>
      <c r="KR14" s="137" t="s">
        <v>514</v>
      </c>
      <c r="KS14" s="137" t="s">
        <v>515</v>
      </c>
      <c r="KT14" s="137" t="s">
        <v>516</v>
      </c>
      <c r="KU14" s="137" t="s">
        <v>517</v>
      </c>
      <c r="KV14" s="137" t="s">
        <v>518</v>
      </c>
      <c r="KW14" s="137" t="s">
        <v>519</v>
      </c>
      <c r="KX14" s="137" t="s">
        <v>520</v>
      </c>
      <c r="KY14" s="137" t="s">
        <v>521</v>
      </c>
      <c r="KZ14" s="137" t="s">
        <v>522</v>
      </c>
      <c r="LA14" s="137" t="s">
        <v>523</v>
      </c>
      <c r="LB14" s="137" t="s">
        <v>524</v>
      </c>
      <c r="LC14" s="137" t="s">
        <v>525</v>
      </c>
      <c r="LD14" s="137" t="s">
        <v>526</v>
      </c>
      <c r="LE14" s="137" t="s">
        <v>527</v>
      </c>
      <c r="LF14" s="137" t="s">
        <v>528</v>
      </c>
      <c r="LG14" s="137" t="s">
        <v>529</v>
      </c>
      <c r="LH14" s="137" t="s">
        <v>530</v>
      </c>
      <c r="LI14" s="137" t="s">
        <v>531</v>
      </c>
      <c r="LJ14" s="137" t="s">
        <v>532</v>
      </c>
      <c r="LK14" s="137" t="s">
        <v>533</v>
      </c>
      <c r="LL14" s="137" t="s">
        <v>534</v>
      </c>
      <c r="LM14" s="137" t="s">
        <v>535</v>
      </c>
      <c r="LN14" s="137" t="s">
        <v>536</v>
      </c>
      <c r="LO14" s="137" t="s">
        <v>537</v>
      </c>
      <c r="LP14" s="137" t="s">
        <v>538</v>
      </c>
      <c r="LQ14" s="137" t="s">
        <v>539</v>
      </c>
      <c r="LR14" s="137" t="s">
        <v>540</v>
      </c>
      <c r="LS14" s="137" t="s">
        <v>541</v>
      </c>
      <c r="LT14" s="137" t="s">
        <v>542</v>
      </c>
      <c r="LU14" s="137" t="s">
        <v>543</v>
      </c>
      <c r="LV14" s="137" t="s">
        <v>544</v>
      </c>
      <c r="LW14" s="137" t="s">
        <v>545</v>
      </c>
      <c r="LX14" s="137" t="s">
        <v>546</v>
      </c>
      <c r="LY14" s="137" t="s">
        <v>547</v>
      </c>
      <c r="LZ14" s="137" t="s">
        <v>548</v>
      </c>
      <c r="MA14" s="137" t="s">
        <v>549</v>
      </c>
      <c r="MB14" s="137" t="s">
        <v>550</v>
      </c>
      <c r="MC14" s="137" t="s">
        <v>551</v>
      </c>
      <c r="MD14" s="137" t="s">
        <v>552</v>
      </c>
      <c r="ME14" s="137" t="s">
        <v>553</v>
      </c>
      <c r="MF14" s="137" t="s">
        <v>554</v>
      </c>
      <c r="MG14" s="137" t="s">
        <v>555</v>
      </c>
      <c r="MH14" s="137" t="s">
        <v>556</v>
      </c>
      <c r="MI14" s="137" t="s">
        <v>557</v>
      </c>
      <c r="MJ14" s="137" t="s">
        <v>558</v>
      </c>
      <c r="MK14" s="137" t="s">
        <v>559</v>
      </c>
      <c r="ML14" s="137" t="s">
        <v>560</v>
      </c>
      <c r="MM14" s="137" t="s">
        <v>561</v>
      </c>
      <c r="MN14" s="137" t="s">
        <v>562</v>
      </c>
      <c r="MO14" s="137" t="s">
        <v>563</v>
      </c>
      <c r="MP14" s="137" t="s">
        <v>564</v>
      </c>
      <c r="MQ14" s="137" t="s">
        <v>565</v>
      </c>
      <c r="MR14" s="137" t="s">
        <v>566</v>
      </c>
      <c r="MS14" s="137" t="s">
        <v>567</v>
      </c>
      <c r="MT14" s="137" t="s">
        <v>568</v>
      </c>
      <c r="MU14" s="137" t="s">
        <v>569</v>
      </c>
      <c r="MV14" s="137" t="s">
        <v>570</v>
      </c>
      <c r="MW14" s="137" t="s">
        <v>571</v>
      </c>
      <c r="MX14" s="137" t="s">
        <v>572</v>
      </c>
      <c r="MY14" s="137" t="s">
        <v>573</v>
      </c>
      <c r="MZ14" s="137" t="s">
        <v>574</v>
      </c>
      <c r="NA14" s="137" t="s">
        <v>575</v>
      </c>
      <c r="NB14" s="137" t="s">
        <v>576</v>
      </c>
      <c r="NC14" s="137" t="s">
        <v>577</v>
      </c>
      <c r="ND14" s="137" t="s">
        <v>578</v>
      </c>
      <c r="NE14" s="137" t="s">
        <v>579</v>
      </c>
      <c r="NF14" s="137" t="s">
        <v>580</v>
      </c>
      <c r="NG14" s="137" t="s">
        <v>581</v>
      </c>
      <c r="NH14" s="137" t="s">
        <v>582</v>
      </c>
      <c r="NI14" s="137" t="s">
        <v>583</v>
      </c>
      <c r="NJ14" s="137" t="s">
        <v>584</v>
      </c>
      <c r="NK14" s="137" t="s">
        <v>585</v>
      </c>
      <c r="NL14" s="137" t="s">
        <v>586</v>
      </c>
      <c r="NM14" s="137" t="s">
        <v>587</v>
      </c>
      <c r="NN14" s="137" t="s">
        <v>588</v>
      </c>
      <c r="NO14" s="137" t="s">
        <v>589</v>
      </c>
      <c r="NP14" s="137" t="s">
        <v>590</v>
      </c>
      <c r="NQ14" s="137" t="s">
        <v>591</v>
      </c>
      <c r="NR14" s="137" t="s">
        <v>592</v>
      </c>
      <c r="NS14" s="137" t="s">
        <v>593</v>
      </c>
      <c r="NT14" s="137" t="s">
        <v>594</v>
      </c>
      <c r="NU14" s="137" t="s">
        <v>595</v>
      </c>
      <c r="NV14" s="137" t="s">
        <v>596</v>
      </c>
      <c r="NW14" s="137" t="s">
        <v>597</v>
      </c>
      <c r="NX14" s="137" t="s">
        <v>598</v>
      </c>
      <c r="NY14" s="137" t="s">
        <v>599</v>
      </c>
      <c r="NZ14" s="137" t="s">
        <v>600</v>
      </c>
      <c r="OA14" s="137" t="s">
        <v>601</v>
      </c>
      <c r="OB14" s="137" t="s">
        <v>602</v>
      </c>
      <c r="OC14" s="137" t="s">
        <v>603</v>
      </c>
      <c r="OD14" s="137" t="s">
        <v>604</v>
      </c>
      <c r="OE14" s="137" t="s">
        <v>605</v>
      </c>
      <c r="OF14" s="137" t="s">
        <v>606</v>
      </c>
      <c r="OG14" s="137" t="s">
        <v>607</v>
      </c>
      <c r="OH14" s="137" t="s">
        <v>608</v>
      </c>
      <c r="OI14" s="137" t="s">
        <v>609</v>
      </c>
      <c r="OJ14" s="137" t="s">
        <v>610</v>
      </c>
      <c r="OK14" s="137" t="s">
        <v>611</v>
      </c>
      <c r="OL14" s="137" t="s">
        <v>612</v>
      </c>
      <c r="OM14" s="137" t="s">
        <v>613</v>
      </c>
      <c r="ON14" s="137" t="s">
        <v>614</v>
      </c>
      <c r="OO14" s="137" t="s">
        <v>615</v>
      </c>
      <c r="OP14" s="137" t="s">
        <v>616</v>
      </c>
      <c r="OQ14" s="137" t="s">
        <v>617</v>
      </c>
      <c r="OR14" s="137" t="s">
        <v>618</v>
      </c>
      <c r="OS14" s="137" t="s">
        <v>619</v>
      </c>
      <c r="OT14" s="137" t="s">
        <v>620</v>
      </c>
      <c r="OU14" s="137" t="s">
        <v>621</v>
      </c>
      <c r="OV14" s="137" t="s">
        <v>622</v>
      </c>
      <c r="OW14" s="137" t="s">
        <v>623</v>
      </c>
      <c r="OX14" s="137" t="s">
        <v>624</v>
      </c>
      <c r="OY14" s="137" t="s">
        <v>625</v>
      </c>
      <c r="OZ14" s="137" t="s">
        <v>626</v>
      </c>
      <c r="PA14" s="137" t="s">
        <v>627</v>
      </c>
      <c r="PB14" s="137" t="s">
        <v>628</v>
      </c>
      <c r="PC14" s="137" t="s">
        <v>629</v>
      </c>
      <c r="PD14" s="137" t="s">
        <v>630</v>
      </c>
      <c r="PE14" s="137" t="s">
        <v>631</v>
      </c>
      <c r="PF14" s="137" t="s">
        <v>632</v>
      </c>
      <c r="PG14" s="137" t="s">
        <v>633</v>
      </c>
      <c r="PH14" s="137" t="s">
        <v>634</v>
      </c>
      <c r="PI14" s="137" t="s">
        <v>635</v>
      </c>
      <c r="PJ14" s="137" t="s">
        <v>636</v>
      </c>
      <c r="PK14" s="137" t="s">
        <v>637</v>
      </c>
      <c r="PL14" s="137" t="s">
        <v>638</v>
      </c>
      <c r="PM14" s="137" t="s">
        <v>639</v>
      </c>
      <c r="PN14" s="137" t="s">
        <v>640</v>
      </c>
      <c r="PO14" s="137" t="s">
        <v>641</v>
      </c>
      <c r="PP14" s="137" t="s">
        <v>642</v>
      </c>
      <c r="PQ14" s="137" t="s">
        <v>643</v>
      </c>
      <c r="PR14" s="137" t="s">
        <v>644</v>
      </c>
      <c r="PS14" s="137" t="s">
        <v>645</v>
      </c>
      <c r="PT14" s="137" t="s">
        <v>646</v>
      </c>
      <c r="PU14" s="137" t="s">
        <v>647</v>
      </c>
      <c r="PV14" s="137" t="s">
        <v>648</v>
      </c>
      <c r="PW14" s="137" t="s">
        <v>649</v>
      </c>
      <c r="PX14" s="137" t="s">
        <v>650</v>
      </c>
      <c r="PY14" s="137" t="s">
        <v>651</v>
      </c>
      <c r="PZ14" s="137" t="s">
        <v>652</v>
      </c>
      <c r="QA14" s="137" t="s">
        <v>653</v>
      </c>
      <c r="QB14" s="137" t="s">
        <v>654</v>
      </c>
      <c r="QC14" s="137" t="s">
        <v>655</v>
      </c>
      <c r="QD14" s="137" t="s">
        <v>656</v>
      </c>
      <c r="QE14" s="137" t="s">
        <v>657</v>
      </c>
      <c r="QF14" s="137" t="s">
        <v>658</v>
      </c>
      <c r="QG14" s="137" t="s">
        <v>659</v>
      </c>
      <c r="QH14" s="137" t="s">
        <v>660</v>
      </c>
      <c r="QI14" s="137" t="s">
        <v>661</v>
      </c>
      <c r="QJ14" s="137" t="s">
        <v>662</v>
      </c>
      <c r="QK14" s="137" t="s">
        <v>663</v>
      </c>
      <c r="QL14" s="137" t="s">
        <v>664</v>
      </c>
      <c r="QM14" s="137" t="s">
        <v>665</v>
      </c>
      <c r="QN14" s="137" t="s">
        <v>666</v>
      </c>
      <c r="QO14" s="137" t="s">
        <v>667</v>
      </c>
      <c r="QP14" s="137" t="s">
        <v>668</v>
      </c>
      <c r="QQ14" s="137" t="s">
        <v>669</v>
      </c>
      <c r="QR14" s="137" t="s">
        <v>670</v>
      </c>
      <c r="QS14" s="137" t="s">
        <v>671</v>
      </c>
      <c r="QT14" s="137" t="s">
        <v>672</v>
      </c>
      <c r="QU14" s="137" t="s">
        <v>673</v>
      </c>
      <c r="QV14" s="137" t="s">
        <v>674</v>
      </c>
      <c r="QW14" s="137" t="s">
        <v>675</v>
      </c>
      <c r="QX14" s="137" t="s">
        <v>676</v>
      </c>
      <c r="QY14" s="137" t="s">
        <v>677</v>
      </c>
      <c r="QZ14" s="137" t="s">
        <v>678</v>
      </c>
      <c r="RA14" s="137" t="s">
        <v>679</v>
      </c>
      <c r="RB14" s="137" t="s">
        <v>680</v>
      </c>
      <c r="RC14" s="137" t="s">
        <v>681</v>
      </c>
      <c r="RD14" s="137" t="s">
        <v>682</v>
      </c>
      <c r="RE14" s="137" t="s">
        <v>683</v>
      </c>
      <c r="RF14" s="137" t="s">
        <v>684</v>
      </c>
      <c r="RG14" s="137" t="s">
        <v>685</v>
      </c>
      <c r="RH14" s="137" t="s">
        <v>686</v>
      </c>
      <c r="RI14" s="137" t="s">
        <v>687</v>
      </c>
      <c r="RJ14" s="137" t="s">
        <v>688</v>
      </c>
      <c r="RK14" s="137" t="s">
        <v>689</v>
      </c>
      <c r="RL14" s="137" t="s">
        <v>690</v>
      </c>
      <c r="RM14" s="137" t="s">
        <v>691</v>
      </c>
      <c r="RN14" s="137" t="s">
        <v>692</v>
      </c>
      <c r="RO14" s="137" t="s">
        <v>693</v>
      </c>
      <c r="RP14" s="137" t="s">
        <v>694</v>
      </c>
      <c r="RQ14" s="137" t="s">
        <v>695</v>
      </c>
      <c r="RR14" s="137" t="s">
        <v>696</v>
      </c>
      <c r="RS14" s="137" t="s">
        <v>697</v>
      </c>
      <c r="RT14" s="137" t="s">
        <v>698</v>
      </c>
      <c r="RU14" s="137" t="s">
        <v>699</v>
      </c>
      <c r="RV14" s="137" t="s">
        <v>700</v>
      </c>
      <c r="RW14" s="137" t="s">
        <v>701</v>
      </c>
      <c r="RX14" s="137" t="s">
        <v>702</v>
      </c>
      <c r="RY14" s="137" t="s">
        <v>703</v>
      </c>
      <c r="RZ14" s="137" t="s">
        <v>704</v>
      </c>
      <c r="SA14" s="137" t="s">
        <v>705</v>
      </c>
      <c r="SB14" s="137" t="s">
        <v>706</v>
      </c>
      <c r="SC14" s="137" t="s">
        <v>707</v>
      </c>
      <c r="SD14" s="137" t="s">
        <v>708</v>
      </c>
      <c r="SE14" s="137" t="s">
        <v>709</v>
      </c>
      <c r="SF14" s="137" t="s">
        <v>710</v>
      </c>
      <c r="SG14" s="137" t="s">
        <v>711</v>
      </c>
      <c r="SH14" s="137" t="s">
        <v>712</v>
      </c>
      <c r="SI14" s="137" t="s">
        <v>713</v>
      </c>
      <c r="SJ14" s="137" t="s">
        <v>714</v>
      </c>
      <c r="SK14" s="137" t="s">
        <v>715</v>
      </c>
      <c r="SL14" s="137" t="s">
        <v>716</v>
      </c>
      <c r="SM14" s="137" t="s">
        <v>717</v>
      </c>
      <c r="SN14" s="137" t="s">
        <v>718</v>
      </c>
      <c r="SO14" s="137" t="s">
        <v>719</v>
      </c>
      <c r="SP14" s="137" t="s">
        <v>720</v>
      </c>
      <c r="SQ14" s="137" t="s">
        <v>721</v>
      </c>
      <c r="SR14" s="137" t="s">
        <v>722</v>
      </c>
      <c r="SS14" s="137" t="s">
        <v>723</v>
      </c>
      <c r="ST14" s="137" t="s">
        <v>724</v>
      </c>
      <c r="SU14" s="137" t="s">
        <v>725</v>
      </c>
      <c r="SV14" s="137" t="s">
        <v>726</v>
      </c>
      <c r="SW14" s="137" t="s">
        <v>727</v>
      </c>
      <c r="SX14" s="137" t="s">
        <v>728</v>
      </c>
      <c r="SY14" s="137" t="s">
        <v>729</v>
      </c>
      <c r="SZ14" s="137" t="s">
        <v>730</v>
      </c>
      <c r="TA14" s="137" t="s">
        <v>731</v>
      </c>
      <c r="TB14" s="137" t="s">
        <v>732</v>
      </c>
      <c r="TC14" s="137" t="s">
        <v>733</v>
      </c>
      <c r="TD14" s="137" t="s">
        <v>734</v>
      </c>
      <c r="TE14" s="137" t="s">
        <v>735</v>
      </c>
      <c r="TF14" s="137" t="s">
        <v>736</v>
      </c>
      <c r="TG14" s="137" t="s">
        <v>737</v>
      </c>
      <c r="TH14" s="137" t="s">
        <v>738</v>
      </c>
      <c r="TI14" s="137" t="s">
        <v>739</v>
      </c>
      <c r="TJ14" s="137" t="s">
        <v>740</v>
      </c>
      <c r="TK14" s="137" t="s">
        <v>741</v>
      </c>
      <c r="TL14" s="137" t="s">
        <v>742</v>
      </c>
      <c r="TM14" s="137" t="s">
        <v>743</v>
      </c>
      <c r="TN14" s="137" t="s">
        <v>744</v>
      </c>
      <c r="TO14" s="137" t="s">
        <v>745</v>
      </c>
      <c r="TP14" s="137" t="s">
        <v>746</v>
      </c>
      <c r="TQ14" s="137" t="s">
        <v>747</v>
      </c>
      <c r="TR14" s="137" t="s">
        <v>748</v>
      </c>
      <c r="TS14" s="137" t="s">
        <v>749</v>
      </c>
      <c r="TT14" s="137" t="s">
        <v>750</v>
      </c>
      <c r="TU14" s="137" t="s">
        <v>751</v>
      </c>
      <c r="TV14" s="137" t="s">
        <v>752</v>
      </c>
      <c r="TW14" s="137" t="s">
        <v>753</v>
      </c>
      <c r="TX14" s="137" t="s">
        <v>754</v>
      </c>
      <c r="TY14" s="137" t="s">
        <v>755</v>
      </c>
      <c r="TZ14" s="137" t="s">
        <v>756</v>
      </c>
      <c r="UA14" s="137" t="s">
        <v>757</v>
      </c>
      <c r="UB14" s="137" t="s">
        <v>758</v>
      </c>
      <c r="UC14" s="137" t="s">
        <v>759</v>
      </c>
      <c r="UD14" s="137" t="s">
        <v>760</v>
      </c>
      <c r="UE14" s="137" t="s">
        <v>761</v>
      </c>
      <c r="UF14" s="137" t="s">
        <v>762</v>
      </c>
      <c r="UG14" s="137" t="s">
        <v>763</v>
      </c>
      <c r="UH14" s="137" t="s">
        <v>764</v>
      </c>
      <c r="UI14" s="137" t="s">
        <v>765</v>
      </c>
      <c r="UJ14" s="137" t="s">
        <v>766</v>
      </c>
      <c r="UK14" s="137" t="s">
        <v>767</v>
      </c>
      <c r="UL14" s="137" t="s">
        <v>768</v>
      </c>
      <c r="UM14" s="137" t="s">
        <v>769</v>
      </c>
      <c r="UN14" s="137" t="s">
        <v>770</v>
      </c>
      <c r="UO14" s="137" t="s">
        <v>771</v>
      </c>
      <c r="UP14" s="137" t="s">
        <v>772</v>
      </c>
      <c r="UQ14" s="137" t="s">
        <v>773</v>
      </c>
      <c r="UR14" s="137" t="s">
        <v>774</v>
      </c>
      <c r="US14" s="137" t="s">
        <v>775</v>
      </c>
      <c r="UT14" s="137" t="s">
        <v>776</v>
      </c>
      <c r="UU14" s="137" t="s">
        <v>777</v>
      </c>
      <c r="UV14" s="137" t="s">
        <v>778</v>
      </c>
      <c r="UW14" s="137" t="s">
        <v>779</v>
      </c>
      <c r="UX14" s="137" t="s">
        <v>780</v>
      </c>
      <c r="UY14" s="137" t="s">
        <v>781</v>
      </c>
      <c r="UZ14" s="137" t="s">
        <v>782</v>
      </c>
      <c r="VA14" s="137" t="s">
        <v>783</v>
      </c>
      <c r="VB14" s="137" t="s">
        <v>784</v>
      </c>
      <c r="VC14" s="137" t="s">
        <v>785</v>
      </c>
      <c r="VD14" s="137" t="s">
        <v>786</v>
      </c>
      <c r="VE14" s="137" t="s">
        <v>787</v>
      </c>
      <c r="VF14" s="137" t="s">
        <v>788</v>
      </c>
      <c r="VG14" s="137" t="s">
        <v>789</v>
      </c>
      <c r="VH14" s="137" t="s">
        <v>790</v>
      </c>
      <c r="VI14" s="137" t="s">
        <v>791</v>
      </c>
      <c r="VJ14" s="137" t="s">
        <v>792</v>
      </c>
      <c r="VK14" s="137" t="s">
        <v>793</v>
      </c>
      <c r="VL14" s="137" t="s">
        <v>794</v>
      </c>
      <c r="VM14" s="137" t="s">
        <v>795</v>
      </c>
      <c r="VN14" s="137" t="s">
        <v>796</v>
      </c>
      <c r="VO14" s="137" t="s">
        <v>797</v>
      </c>
      <c r="VP14" s="137" t="s">
        <v>798</v>
      </c>
      <c r="VQ14" s="137" t="s">
        <v>799</v>
      </c>
      <c r="VR14" s="137" t="s">
        <v>800</v>
      </c>
      <c r="VS14" s="137" t="s">
        <v>801</v>
      </c>
      <c r="VT14" s="137" t="s">
        <v>802</v>
      </c>
      <c r="VU14" s="137" t="s">
        <v>803</v>
      </c>
      <c r="VV14" s="137" t="s">
        <v>804</v>
      </c>
      <c r="VW14" s="137" t="s">
        <v>805</v>
      </c>
      <c r="VX14" s="137" t="s">
        <v>806</v>
      </c>
      <c r="VY14" s="137" t="s">
        <v>807</v>
      </c>
      <c r="VZ14" s="137" t="s">
        <v>808</v>
      </c>
      <c r="WA14" s="137" t="s">
        <v>809</v>
      </c>
      <c r="WB14" s="137" t="s">
        <v>810</v>
      </c>
      <c r="WC14" s="137" t="s">
        <v>811</v>
      </c>
      <c r="WD14" s="137" t="s">
        <v>812</v>
      </c>
      <c r="WE14" s="137" t="s">
        <v>813</v>
      </c>
      <c r="WF14" s="137" t="s">
        <v>814</v>
      </c>
      <c r="WG14" s="137" t="s">
        <v>815</v>
      </c>
      <c r="WH14" s="137" t="s">
        <v>816</v>
      </c>
      <c r="WI14" s="137" t="s">
        <v>817</v>
      </c>
      <c r="WJ14" s="137" t="s">
        <v>818</v>
      </c>
      <c r="WK14" s="137" t="s">
        <v>819</v>
      </c>
      <c r="WL14" s="137" t="s">
        <v>820</v>
      </c>
      <c r="WM14" s="137" t="s">
        <v>821</v>
      </c>
      <c r="WN14" s="137" t="s">
        <v>822</v>
      </c>
      <c r="WO14" s="137" t="s">
        <v>823</v>
      </c>
      <c r="WP14" s="137" t="s">
        <v>824</v>
      </c>
      <c r="WQ14" s="137" t="s">
        <v>825</v>
      </c>
      <c r="WR14" s="137" t="s">
        <v>826</v>
      </c>
      <c r="WS14" s="137" t="s">
        <v>827</v>
      </c>
      <c r="WT14" s="137" t="s">
        <v>828</v>
      </c>
      <c r="WU14" s="137" t="s">
        <v>829</v>
      </c>
      <c r="WV14" s="137" t="s">
        <v>830</v>
      </c>
      <c r="WW14" s="137" t="s">
        <v>831</v>
      </c>
      <c r="WX14" s="137" t="s">
        <v>832</v>
      </c>
      <c r="WY14" s="137" t="s">
        <v>833</v>
      </c>
      <c r="WZ14" s="137" t="s">
        <v>834</v>
      </c>
      <c r="XA14" s="137" t="s">
        <v>835</v>
      </c>
      <c r="XB14" s="137" t="s">
        <v>836</v>
      </c>
      <c r="XC14" s="137" t="s">
        <v>837</v>
      </c>
      <c r="XD14" s="137" t="s">
        <v>838</v>
      </c>
      <c r="XE14" s="137" t="s">
        <v>839</v>
      </c>
      <c r="XF14" s="137" t="s">
        <v>840</v>
      </c>
      <c r="XG14" s="137" t="s">
        <v>841</v>
      </c>
      <c r="XH14" s="137" t="s">
        <v>842</v>
      </c>
      <c r="XI14" s="137" t="s">
        <v>843</v>
      </c>
      <c r="XJ14" s="137" t="s">
        <v>844</v>
      </c>
      <c r="XK14" s="137" t="s">
        <v>845</v>
      </c>
      <c r="XL14" s="137" t="s">
        <v>846</v>
      </c>
      <c r="XM14" s="137" t="s">
        <v>847</v>
      </c>
      <c r="XN14" s="137" t="s">
        <v>848</v>
      </c>
      <c r="XO14" s="137" t="s">
        <v>849</v>
      </c>
      <c r="XP14" s="137" t="s">
        <v>850</v>
      </c>
      <c r="XQ14" s="137" t="s">
        <v>851</v>
      </c>
      <c r="XR14" s="137" t="s">
        <v>852</v>
      </c>
      <c r="XS14" s="137" t="s">
        <v>853</v>
      </c>
      <c r="XT14" s="137" t="s">
        <v>854</v>
      </c>
      <c r="XU14" s="137" t="s">
        <v>855</v>
      </c>
      <c r="XV14" s="137" t="s">
        <v>856</v>
      </c>
      <c r="XW14" s="137" t="s">
        <v>857</v>
      </c>
      <c r="XX14" s="137" t="s">
        <v>858</v>
      </c>
      <c r="XY14" s="137" t="s">
        <v>859</v>
      </c>
      <c r="XZ14" s="137" t="s">
        <v>860</v>
      </c>
      <c r="YA14" s="137" t="s">
        <v>861</v>
      </c>
      <c r="YB14" s="137" t="s">
        <v>862</v>
      </c>
      <c r="YC14" s="137" t="s">
        <v>863</v>
      </c>
      <c r="YD14" s="137" t="s">
        <v>864</v>
      </c>
      <c r="YE14" s="137" t="s">
        <v>865</v>
      </c>
      <c r="YF14" s="137" t="s">
        <v>866</v>
      </c>
      <c r="YG14" s="137" t="s">
        <v>867</v>
      </c>
      <c r="YH14" s="137" t="s">
        <v>868</v>
      </c>
      <c r="YI14" s="137" t="s">
        <v>869</v>
      </c>
      <c r="YJ14" s="137" t="s">
        <v>870</v>
      </c>
      <c r="YK14" s="137" t="s">
        <v>871</v>
      </c>
      <c r="YL14" s="137" t="s">
        <v>872</v>
      </c>
      <c r="YM14" s="137" t="s">
        <v>873</v>
      </c>
      <c r="YN14" s="137" t="s">
        <v>874</v>
      </c>
      <c r="YO14" s="137" t="s">
        <v>875</v>
      </c>
      <c r="YP14" s="137" t="s">
        <v>876</v>
      </c>
      <c r="YQ14" s="137" t="s">
        <v>877</v>
      </c>
      <c r="YR14" s="137" t="s">
        <v>878</v>
      </c>
      <c r="YS14" s="137" t="s">
        <v>879</v>
      </c>
      <c r="YT14" s="137" t="s">
        <v>880</v>
      </c>
      <c r="YU14" s="137" t="s">
        <v>881</v>
      </c>
      <c r="YV14" s="137" t="s">
        <v>882</v>
      </c>
      <c r="YW14" s="137" t="s">
        <v>883</v>
      </c>
      <c r="YX14" s="137" t="s">
        <v>884</v>
      </c>
      <c r="YY14" s="137" t="s">
        <v>885</v>
      </c>
      <c r="YZ14" s="137" t="s">
        <v>886</v>
      </c>
      <c r="ZA14" s="137" t="s">
        <v>887</v>
      </c>
      <c r="ZB14" s="137" t="s">
        <v>888</v>
      </c>
      <c r="ZC14" s="137" t="s">
        <v>889</v>
      </c>
      <c r="ZD14" s="137" t="s">
        <v>890</v>
      </c>
      <c r="ZE14" s="137" t="s">
        <v>891</v>
      </c>
      <c r="ZF14" s="137" t="s">
        <v>892</v>
      </c>
      <c r="ZG14" s="137" t="s">
        <v>893</v>
      </c>
      <c r="ZH14" s="137" t="s">
        <v>894</v>
      </c>
      <c r="ZI14" s="137" t="s">
        <v>895</v>
      </c>
      <c r="ZJ14" s="137" t="s">
        <v>896</v>
      </c>
      <c r="ZK14" s="137" t="s">
        <v>897</v>
      </c>
      <c r="ZL14" s="137" t="s">
        <v>898</v>
      </c>
      <c r="ZM14" s="137" t="s">
        <v>899</v>
      </c>
      <c r="ZN14" s="137" t="s">
        <v>900</v>
      </c>
      <c r="ZO14" s="137" t="s">
        <v>901</v>
      </c>
      <c r="ZP14" s="137" t="s">
        <v>902</v>
      </c>
      <c r="ZQ14" s="137" t="s">
        <v>903</v>
      </c>
      <c r="ZR14" s="137" t="s">
        <v>904</v>
      </c>
      <c r="ZS14" s="137" t="s">
        <v>905</v>
      </c>
      <c r="ZT14" s="137" t="s">
        <v>906</v>
      </c>
      <c r="ZU14" s="137" t="s">
        <v>907</v>
      </c>
      <c r="ZV14" s="137" t="s">
        <v>908</v>
      </c>
      <c r="ZW14" s="137" t="s">
        <v>909</v>
      </c>
      <c r="ZX14" s="137" t="s">
        <v>910</v>
      </c>
      <c r="ZY14" s="137" t="s">
        <v>911</v>
      </c>
      <c r="ZZ14" s="137" t="s">
        <v>912</v>
      </c>
      <c r="AAA14" s="137" t="s">
        <v>913</v>
      </c>
      <c r="AAB14" s="137" t="s">
        <v>914</v>
      </c>
      <c r="AAC14" s="137" t="s">
        <v>915</v>
      </c>
      <c r="AAD14" s="137" t="s">
        <v>916</v>
      </c>
      <c r="AAE14" s="137" t="s">
        <v>917</v>
      </c>
      <c r="AAF14" s="137" t="s">
        <v>918</v>
      </c>
      <c r="AAG14" s="137" t="s">
        <v>919</v>
      </c>
      <c r="AAH14" s="137" t="s">
        <v>920</v>
      </c>
      <c r="AAI14" s="137" t="s">
        <v>921</v>
      </c>
      <c r="AAJ14" s="137" t="s">
        <v>922</v>
      </c>
      <c r="AAK14" s="137" t="s">
        <v>923</v>
      </c>
      <c r="AAL14" s="137" t="s">
        <v>924</v>
      </c>
      <c r="AAM14" s="137" t="s">
        <v>925</v>
      </c>
      <c r="AAN14" s="137" t="s">
        <v>926</v>
      </c>
      <c r="AAO14" s="137" t="s">
        <v>927</v>
      </c>
      <c r="AAP14" s="137" t="s">
        <v>928</v>
      </c>
      <c r="AAQ14" s="137" t="s">
        <v>929</v>
      </c>
      <c r="AAR14" s="137" t="s">
        <v>930</v>
      </c>
      <c r="AAS14" s="137" t="s">
        <v>931</v>
      </c>
      <c r="AAT14" s="137" t="s">
        <v>932</v>
      </c>
      <c r="AAU14" s="137" t="s">
        <v>933</v>
      </c>
      <c r="AAV14" s="137" t="s">
        <v>934</v>
      </c>
      <c r="AAW14" s="137" t="s">
        <v>935</v>
      </c>
      <c r="AAX14" s="137" t="s">
        <v>936</v>
      </c>
      <c r="AAY14" s="137" t="s">
        <v>937</v>
      </c>
      <c r="AAZ14" s="137" t="s">
        <v>938</v>
      </c>
      <c r="ABA14" s="137" t="s">
        <v>939</v>
      </c>
      <c r="ABB14" s="137" t="s">
        <v>940</v>
      </c>
      <c r="ABC14" s="137" t="s">
        <v>941</v>
      </c>
      <c r="ABD14" s="137" t="s">
        <v>942</v>
      </c>
      <c r="ABE14" s="137" t="s">
        <v>943</v>
      </c>
      <c r="ABF14" s="137" t="s">
        <v>944</v>
      </c>
      <c r="ABG14" s="137" t="s">
        <v>945</v>
      </c>
      <c r="ABH14" s="137" t="s">
        <v>946</v>
      </c>
      <c r="ABI14" s="137" t="s">
        <v>947</v>
      </c>
      <c r="ABJ14" s="137" t="s">
        <v>948</v>
      </c>
      <c r="ABK14" s="137" t="s">
        <v>949</v>
      </c>
      <c r="ABL14" s="137" t="s">
        <v>950</v>
      </c>
      <c r="ABM14" s="137" t="s">
        <v>951</v>
      </c>
      <c r="ABN14" s="137" t="s">
        <v>952</v>
      </c>
      <c r="ABO14" s="137" t="s">
        <v>953</v>
      </c>
      <c r="ABP14" s="137" t="s">
        <v>954</v>
      </c>
      <c r="ABQ14" s="137" t="s">
        <v>955</v>
      </c>
      <c r="ABR14" s="137" t="s">
        <v>956</v>
      </c>
      <c r="ABS14" s="137" t="s">
        <v>957</v>
      </c>
      <c r="ABT14" s="137" t="s">
        <v>958</v>
      </c>
      <c r="ABU14" s="137" t="s">
        <v>959</v>
      </c>
      <c r="ABV14" s="137" t="s">
        <v>960</v>
      </c>
      <c r="ABW14" s="137" t="s">
        <v>961</v>
      </c>
      <c r="ABX14" s="137" t="s">
        <v>962</v>
      </c>
      <c r="ABY14" s="137" t="s">
        <v>963</v>
      </c>
      <c r="ABZ14" s="137" t="s">
        <v>964</v>
      </c>
      <c r="ACA14" s="137" t="s">
        <v>965</v>
      </c>
      <c r="ACB14" s="137" t="s">
        <v>966</v>
      </c>
      <c r="ACC14" s="137" t="s">
        <v>967</v>
      </c>
      <c r="ACD14" s="137" t="s">
        <v>968</v>
      </c>
      <c r="ACE14" s="137" t="s">
        <v>969</v>
      </c>
      <c r="ACF14" s="137" t="s">
        <v>970</v>
      </c>
      <c r="ACG14" s="137" t="s">
        <v>971</v>
      </c>
      <c r="ACH14" s="137" t="s">
        <v>972</v>
      </c>
      <c r="ACI14" s="137" t="s">
        <v>973</v>
      </c>
      <c r="ACJ14" s="137" t="s">
        <v>974</v>
      </c>
      <c r="ACK14" s="137" t="s">
        <v>975</v>
      </c>
      <c r="ACL14" s="137" t="s">
        <v>976</v>
      </c>
      <c r="ACM14" s="137" t="s">
        <v>977</v>
      </c>
      <c r="ACN14" s="137" t="s">
        <v>978</v>
      </c>
      <c r="ACO14" s="137" t="s">
        <v>979</v>
      </c>
      <c r="ACP14" s="137" t="s">
        <v>980</v>
      </c>
      <c r="ACQ14" s="137" t="s">
        <v>981</v>
      </c>
      <c r="ACR14" s="137" t="s">
        <v>982</v>
      </c>
      <c r="ACS14" s="137" t="s">
        <v>983</v>
      </c>
      <c r="ACT14" s="137" t="s">
        <v>984</v>
      </c>
      <c r="ACU14" s="137" t="s">
        <v>985</v>
      </c>
      <c r="ACV14" s="137" t="s">
        <v>986</v>
      </c>
      <c r="ACW14" s="137" t="s">
        <v>987</v>
      </c>
      <c r="ACX14" s="137" t="s">
        <v>988</v>
      </c>
      <c r="ACY14" s="137" t="s">
        <v>989</v>
      </c>
      <c r="ACZ14" s="137" t="s">
        <v>990</v>
      </c>
      <c r="ADA14" s="137" t="s">
        <v>991</v>
      </c>
      <c r="ADB14" s="137" t="s">
        <v>992</v>
      </c>
      <c r="ADC14" s="137" t="s">
        <v>993</v>
      </c>
      <c r="ADD14" s="137" t="s">
        <v>994</v>
      </c>
      <c r="ADE14" s="137" t="s">
        <v>995</v>
      </c>
      <c r="ADF14" s="137" t="s">
        <v>996</v>
      </c>
      <c r="ADG14" s="137" t="s">
        <v>997</v>
      </c>
      <c r="ADH14" s="137" t="s">
        <v>998</v>
      </c>
      <c r="ADI14" s="137" t="s">
        <v>999</v>
      </c>
      <c r="ADJ14" s="137" t="s">
        <v>1000</v>
      </c>
      <c r="ADK14" s="137" t="s">
        <v>1001</v>
      </c>
      <c r="ADL14" s="137" t="s">
        <v>1002</v>
      </c>
      <c r="ADM14" s="137" t="s">
        <v>1003</v>
      </c>
      <c r="ADN14" s="137" t="s">
        <v>1004</v>
      </c>
      <c r="ADO14" s="137" t="s">
        <v>1005</v>
      </c>
      <c r="ADP14" s="137" t="s">
        <v>1006</v>
      </c>
      <c r="ADQ14" s="137" t="s">
        <v>1007</v>
      </c>
      <c r="ADR14" s="137" t="s">
        <v>1008</v>
      </c>
      <c r="ADS14" s="137" t="s">
        <v>1009</v>
      </c>
      <c r="ADT14" s="137" t="s">
        <v>1010</v>
      </c>
      <c r="ADU14" s="137" t="s">
        <v>1011</v>
      </c>
      <c r="ADV14" s="137" t="s">
        <v>1012</v>
      </c>
      <c r="ADW14" s="137" t="s">
        <v>1013</v>
      </c>
      <c r="ADX14" s="137" t="s">
        <v>1014</v>
      </c>
      <c r="ADY14" s="137" t="s">
        <v>1015</v>
      </c>
      <c r="ADZ14" s="137" t="s">
        <v>1016</v>
      </c>
      <c r="AEA14" s="137" t="s">
        <v>1017</v>
      </c>
      <c r="AEB14" s="137" t="s">
        <v>1018</v>
      </c>
      <c r="AEC14" s="137" t="s">
        <v>1019</v>
      </c>
      <c r="AED14" s="137" t="s">
        <v>1020</v>
      </c>
      <c r="AEE14" s="137" t="s">
        <v>1021</v>
      </c>
      <c r="AEF14" s="137" t="s">
        <v>1022</v>
      </c>
      <c r="AEG14" s="137" t="s">
        <v>1023</v>
      </c>
      <c r="AEH14" s="137" t="s">
        <v>1024</v>
      </c>
      <c r="AEI14" s="137" t="s">
        <v>1025</v>
      </c>
      <c r="AEJ14" s="137" t="s">
        <v>1026</v>
      </c>
      <c r="AEK14" s="137" t="s">
        <v>1027</v>
      </c>
      <c r="AEL14" s="137" t="s">
        <v>1028</v>
      </c>
      <c r="AEM14" s="137" t="s">
        <v>1029</v>
      </c>
      <c r="AEN14" s="137" t="s">
        <v>1030</v>
      </c>
      <c r="AEO14" s="137" t="s">
        <v>1031</v>
      </c>
      <c r="AEP14" s="137" t="s">
        <v>1032</v>
      </c>
      <c r="AEQ14" s="137" t="s">
        <v>1033</v>
      </c>
      <c r="AER14" s="137" t="s">
        <v>1034</v>
      </c>
      <c r="AES14" s="137" t="s">
        <v>1035</v>
      </c>
      <c r="AET14" s="137" t="s">
        <v>1036</v>
      </c>
      <c r="AEU14" s="137" t="s">
        <v>1037</v>
      </c>
      <c r="AEV14" s="137" t="s">
        <v>1038</v>
      </c>
      <c r="AEW14" s="137" t="s">
        <v>1039</v>
      </c>
      <c r="AEX14" s="137" t="s">
        <v>1040</v>
      </c>
      <c r="AEY14" s="137" t="s">
        <v>1041</v>
      </c>
      <c r="AEZ14" s="137" t="s">
        <v>1042</v>
      </c>
      <c r="AFA14" s="137" t="s">
        <v>1043</v>
      </c>
      <c r="AFB14" s="137" t="s">
        <v>1044</v>
      </c>
      <c r="AFC14" s="137" t="s">
        <v>1045</v>
      </c>
      <c r="AFD14" s="137" t="s">
        <v>1046</v>
      </c>
      <c r="AFE14" s="137" t="s">
        <v>1047</v>
      </c>
      <c r="AFF14" s="137" t="s">
        <v>1048</v>
      </c>
      <c r="AFG14" s="137" t="s">
        <v>1049</v>
      </c>
      <c r="AFH14" s="137" t="s">
        <v>1050</v>
      </c>
      <c r="AFI14" s="137" t="s">
        <v>1051</v>
      </c>
      <c r="AFJ14" s="137" t="s">
        <v>1052</v>
      </c>
      <c r="AFK14" s="137" t="s">
        <v>1053</v>
      </c>
      <c r="AFL14" s="137" t="s">
        <v>1054</v>
      </c>
      <c r="AFM14" s="137" t="s">
        <v>1055</v>
      </c>
      <c r="AFN14" s="137" t="s">
        <v>1056</v>
      </c>
      <c r="AFO14" s="137" t="s">
        <v>1057</v>
      </c>
      <c r="AFP14" s="137" t="s">
        <v>1058</v>
      </c>
      <c r="AFQ14" s="137" t="s">
        <v>1059</v>
      </c>
      <c r="AFR14" s="137" t="s">
        <v>1060</v>
      </c>
      <c r="AFS14" s="137" t="s">
        <v>1061</v>
      </c>
      <c r="AFT14" s="137" t="s">
        <v>1062</v>
      </c>
      <c r="AFU14" s="137" t="s">
        <v>1063</v>
      </c>
      <c r="AFV14" s="137" t="s">
        <v>1064</v>
      </c>
      <c r="AFW14" s="137" t="s">
        <v>1065</v>
      </c>
      <c r="AFX14" s="137" t="s">
        <v>1066</v>
      </c>
      <c r="AFY14" s="137" t="s">
        <v>1067</v>
      </c>
      <c r="AFZ14" s="137" t="s">
        <v>1068</v>
      </c>
      <c r="AGA14" s="137" t="s">
        <v>1069</v>
      </c>
      <c r="AGB14" s="137" t="s">
        <v>1070</v>
      </c>
      <c r="AGC14" s="137" t="s">
        <v>1071</v>
      </c>
      <c r="AGD14" s="137" t="s">
        <v>1072</v>
      </c>
      <c r="AGE14" s="137" t="s">
        <v>1073</v>
      </c>
      <c r="AGF14" s="137" t="s">
        <v>1074</v>
      </c>
      <c r="AGG14" s="137" t="s">
        <v>1075</v>
      </c>
      <c r="AGH14" s="137" t="s">
        <v>1076</v>
      </c>
      <c r="AGI14" s="137" t="s">
        <v>1077</v>
      </c>
      <c r="AGJ14" s="137" t="s">
        <v>1078</v>
      </c>
      <c r="AGK14" s="137" t="s">
        <v>1079</v>
      </c>
      <c r="AGL14" s="137" t="s">
        <v>1080</v>
      </c>
      <c r="AGM14" s="137" t="s">
        <v>1081</v>
      </c>
      <c r="AGN14" s="137" t="s">
        <v>1082</v>
      </c>
      <c r="AGO14" s="137" t="s">
        <v>1083</v>
      </c>
      <c r="AGP14" s="137" t="s">
        <v>1084</v>
      </c>
      <c r="AGQ14" s="137" t="s">
        <v>1085</v>
      </c>
      <c r="AGR14" s="137" t="s">
        <v>1086</v>
      </c>
      <c r="AGS14" s="137" t="s">
        <v>1087</v>
      </c>
      <c r="AGT14" s="137" t="s">
        <v>1088</v>
      </c>
      <c r="AGU14" s="137" t="s">
        <v>1089</v>
      </c>
      <c r="AGV14" s="137" t="s">
        <v>1090</v>
      </c>
      <c r="AGW14" s="137" t="s">
        <v>1091</v>
      </c>
      <c r="AGX14" s="137" t="s">
        <v>1092</v>
      </c>
      <c r="AGY14" s="137" t="s">
        <v>1093</v>
      </c>
      <c r="AGZ14" s="137" t="s">
        <v>1094</v>
      </c>
      <c r="AHA14" s="137" t="s">
        <v>1095</v>
      </c>
      <c r="AHB14" s="137" t="s">
        <v>1096</v>
      </c>
      <c r="AHC14" s="137" t="s">
        <v>1097</v>
      </c>
      <c r="AHD14" s="137" t="s">
        <v>1098</v>
      </c>
      <c r="AHE14" s="137" t="s">
        <v>1099</v>
      </c>
      <c r="AHF14" s="137" t="s">
        <v>1100</v>
      </c>
      <c r="AHG14" s="137" t="s">
        <v>1101</v>
      </c>
      <c r="AHH14" s="137" t="s">
        <v>1102</v>
      </c>
      <c r="AHI14" s="137" t="s">
        <v>1103</v>
      </c>
      <c r="AHJ14" s="137" t="s">
        <v>1104</v>
      </c>
      <c r="AHK14" s="137" t="s">
        <v>1105</v>
      </c>
      <c r="AHL14" s="137" t="s">
        <v>1106</v>
      </c>
      <c r="AHM14" s="137" t="s">
        <v>1107</v>
      </c>
      <c r="AHN14" s="137" t="s">
        <v>1108</v>
      </c>
      <c r="AHO14" s="137" t="s">
        <v>1109</v>
      </c>
      <c r="AHP14" s="137" t="s">
        <v>1110</v>
      </c>
      <c r="AHQ14" s="137" t="s">
        <v>1111</v>
      </c>
      <c r="AHR14" s="137" t="s">
        <v>1112</v>
      </c>
      <c r="AHS14" s="137" t="s">
        <v>1113</v>
      </c>
      <c r="AHT14" s="137" t="s">
        <v>1114</v>
      </c>
      <c r="AHU14" s="137" t="s">
        <v>1115</v>
      </c>
      <c r="AHV14" s="137" t="s">
        <v>1116</v>
      </c>
      <c r="AHW14" s="137" t="s">
        <v>1117</v>
      </c>
      <c r="AHX14" s="137" t="s">
        <v>1118</v>
      </c>
      <c r="AHY14" s="137" t="s">
        <v>1119</v>
      </c>
      <c r="AHZ14" s="137" t="s">
        <v>1120</v>
      </c>
      <c r="AIA14" s="137" t="s">
        <v>1121</v>
      </c>
      <c r="AIB14" s="137" t="s">
        <v>1122</v>
      </c>
      <c r="AIC14" s="137" t="s">
        <v>1123</v>
      </c>
      <c r="AID14" s="137" t="s">
        <v>1124</v>
      </c>
      <c r="AIE14" s="137" t="s">
        <v>1125</v>
      </c>
      <c r="AIF14" s="137" t="s">
        <v>1126</v>
      </c>
      <c r="AIG14" s="137" t="s">
        <v>1127</v>
      </c>
      <c r="AIH14" s="137" t="s">
        <v>1128</v>
      </c>
      <c r="AII14" s="137" t="s">
        <v>1129</v>
      </c>
      <c r="AIJ14" s="137" t="s">
        <v>1130</v>
      </c>
      <c r="AIK14" s="137" t="s">
        <v>1131</v>
      </c>
      <c r="AIL14" s="137" t="s">
        <v>1132</v>
      </c>
      <c r="AIM14" s="137" t="s">
        <v>1133</v>
      </c>
      <c r="AIN14" s="137" t="s">
        <v>1134</v>
      </c>
      <c r="AIO14" s="137" t="s">
        <v>1135</v>
      </c>
      <c r="AIP14" s="137" t="s">
        <v>1136</v>
      </c>
      <c r="AIQ14" s="137" t="s">
        <v>1137</v>
      </c>
      <c r="AIR14" s="137" t="s">
        <v>1138</v>
      </c>
      <c r="AIS14" s="137" t="s">
        <v>1139</v>
      </c>
      <c r="AIT14" s="137" t="s">
        <v>1140</v>
      </c>
      <c r="AIU14" s="137" t="s">
        <v>1141</v>
      </c>
      <c r="AIV14" s="137" t="s">
        <v>1142</v>
      </c>
      <c r="AIW14" s="137" t="s">
        <v>1143</v>
      </c>
      <c r="AIX14" s="137" t="s">
        <v>1144</v>
      </c>
      <c r="AIY14" s="137" t="s">
        <v>1145</v>
      </c>
      <c r="AIZ14" s="137" t="s">
        <v>1146</v>
      </c>
      <c r="AJA14" s="137" t="s">
        <v>1147</v>
      </c>
      <c r="AJB14" s="137" t="s">
        <v>1148</v>
      </c>
      <c r="AJC14" s="137" t="s">
        <v>1149</v>
      </c>
      <c r="AJD14" s="137" t="s">
        <v>1150</v>
      </c>
      <c r="AJE14" s="137" t="s">
        <v>1151</v>
      </c>
      <c r="AJF14" s="137" t="s">
        <v>1152</v>
      </c>
      <c r="AJG14" s="137" t="s">
        <v>1153</v>
      </c>
      <c r="AJH14" s="137" t="s">
        <v>1154</v>
      </c>
      <c r="AJI14" s="137" t="s">
        <v>1155</v>
      </c>
      <c r="AJJ14" s="137" t="s">
        <v>1156</v>
      </c>
      <c r="AJK14" s="137" t="s">
        <v>1157</v>
      </c>
      <c r="AJL14" s="137" t="s">
        <v>1158</v>
      </c>
      <c r="AJM14" s="137" t="s">
        <v>1159</v>
      </c>
      <c r="AJN14" s="137" t="s">
        <v>1160</v>
      </c>
      <c r="AJO14" s="137" t="s">
        <v>1161</v>
      </c>
      <c r="AJP14" s="137" t="s">
        <v>1162</v>
      </c>
      <c r="AJQ14" s="137" t="s">
        <v>1163</v>
      </c>
      <c r="AJR14" s="137" t="s">
        <v>1164</v>
      </c>
      <c r="AJS14" s="137" t="s">
        <v>1165</v>
      </c>
      <c r="AJT14" s="137" t="s">
        <v>1166</v>
      </c>
      <c r="AJU14" s="137" t="s">
        <v>1167</v>
      </c>
      <c r="AJV14" s="137" t="s">
        <v>1168</v>
      </c>
      <c r="AJW14" s="137" t="s">
        <v>1169</v>
      </c>
      <c r="AJX14" s="137" t="s">
        <v>1170</v>
      </c>
      <c r="AJY14" s="137" t="s">
        <v>1171</v>
      </c>
      <c r="AJZ14" s="137" t="s">
        <v>1172</v>
      </c>
      <c r="AKA14" s="137" t="s">
        <v>1173</v>
      </c>
      <c r="AKB14" s="137" t="s">
        <v>1174</v>
      </c>
      <c r="AKC14" s="137" t="s">
        <v>1175</v>
      </c>
      <c r="AKD14" s="137" t="s">
        <v>1176</v>
      </c>
      <c r="AKE14" s="137" t="s">
        <v>1177</v>
      </c>
      <c r="AKF14" s="137" t="s">
        <v>1178</v>
      </c>
      <c r="AKG14" s="137" t="s">
        <v>1179</v>
      </c>
      <c r="AKH14" s="137" t="s">
        <v>1180</v>
      </c>
      <c r="AKI14" s="137" t="s">
        <v>1181</v>
      </c>
      <c r="AKJ14" s="137" t="s">
        <v>1182</v>
      </c>
      <c r="AKK14" s="137" t="s">
        <v>1183</v>
      </c>
      <c r="AKL14" s="137" t="s">
        <v>1184</v>
      </c>
      <c r="AKM14" s="137" t="s">
        <v>1185</v>
      </c>
      <c r="AKN14" s="137" t="s">
        <v>1186</v>
      </c>
      <c r="AKO14" s="137" t="s">
        <v>1187</v>
      </c>
      <c r="AKP14" s="137" t="s">
        <v>1188</v>
      </c>
      <c r="AKQ14" s="137" t="s">
        <v>1189</v>
      </c>
      <c r="AKR14" s="137" t="s">
        <v>1190</v>
      </c>
      <c r="AKS14" s="137" t="s">
        <v>1191</v>
      </c>
      <c r="AKT14" s="137" t="s">
        <v>1192</v>
      </c>
      <c r="AKU14" s="137" t="s">
        <v>1193</v>
      </c>
      <c r="AKV14" s="137" t="s">
        <v>1194</v>
      </c>
      <c r="AKW14" s="137" t="s">
        <v>1195</v>
      </c>
      <c r="AKX14" s="137" t="s">
        <v>1196</v>
      </c>
      <c r="AKY14" s="137" t="s">
        <v>1197</v>
      </c>
      <c r="AKZ14" s="137" t="s">
        <v>1198</v>
      </c>
      <c r="ALA14" s="137" t="s">
        <v>1199</v>
      </c>
      <c r="ALB14" s="137" t="s">
        <v>1200</v>
      </c>
      <c r="ALC14" s="137" t="s">
        <v>1201</v>
      </c>
      <c r="ALD14" s="137" t="s">
        <v>1202</v>
      </c>
      <c r="ALE14" s="137" t="s">
        <v>1203</v>
      </c>
      <c r="ALF14" s="137" t="s">
        <v>1204</v>
      </c>
      <c r="ALG14" s="137" t="s">
        <v>1205</v>
      </c>
      <c r="ALH14" s="137" t="s">
        <v>1206</v>
      </c>
      <c r="ALI14" s="137" t="s">
        <v>1207</v>
      </c>
      <c r="ALJ14" s="137" t="s">
        <v>1208</v>
      </c>
      <c r="ALK14" s="137" t="s">
        <v>1209</v>
      </c>
      <c r="ALL14" s="137" t="s">
        <v>1210</v>
      </c>
      <c r="ALM14" s="137" t="s">
        <v>1211</v>
      </c>
      <c r="ALN14" s="137" t="s">
        <v>1212</v>
      </c>
      <c r="ALO14" s="137" t="s">
        <v>1213</v>
      </c>
      <c r="ALP14" s="137" t="s">
        <v>1214</v>
      </c>
      <c r="ALQ14" s="137" t="s">
        <v>1215</v>
      </c>
      <c r="ALR14" s="137" t="s">
        <v>1216</v>
      </c>
      <c r="ALS14" s="137" t="s">
        <v>1217</v>
      </c>
      <c r="ALT14" s="137" t="s">
        <v>1218</v>
      </c>
      <c r="ALU14" s="137" t="s">
        <v>1219</v>
      </c>
      <c r="ALV14" s="137" t="s">
        <v>1220</v>
      </c>
      <c r="ALW14" s="137" t="s">
        <v>1221</v>
      </c>
      <c r="ALX14" s="137" t="s">
        <v>1222</v>
      </c>
      <c r="ALY14" s="137" t="s">
        <v>1223</v>
      </c>
      <c r="ALZ14" s="137" t="s">
        <v>1224</v>
      </c>
      <c r="AMA14" s="137" t="s">
        <v>1225</v>
      </c>
      <c r="AMB14" s="137" t="s">
        <v>1226</v>
      </c>
      <c r="AMC14" s="137" t="s">
        <v>1227</v>
      </c>
      <c r="AMD14" s="137" t="s">
        <v>1228</v>
      </c>
      <c r="AME14" s="137" t="s">
        <v>1229</v>
      </c>
      <c r="AMF14" s="137" t="s">
        <v>1230</v>
      </c>
      <c r="AMG14" s="137" t="s">
        <v>1231</v>
      </c>
      <c r="AMH14" s="137" t="s">
        <v>1232</v>
      </c>
      <c r="AMI14" s="137" t="s">
        <v>1233</v>
      </c>
      <c r="AMJ14" s="137" t="s">
        <v>1234</v>
      </c>
      <c r="AMK14" s="137" t="s">
        <v>1235</v>
      </c>
      <c r="AML14" s="137" t="s">
        <v>1236</v>
      </c>
      <c r="AMM14" s="137" t="s">
        <v>1237</v>
      </c>
      <c r="AMN14" s="137" t="s">
        <v>1238</v>
      </c>
      <c r="AMO14" s="137" t="s">
        <v>1239</v>
      </c>
      <c r="AMP14" s="137" t="s">
        <v>1240</v>
      </c>
      <c r="AMQ14" s="137" t="s">
        <v>1241</v>
      </c>
      <c r="AMR14" s="137" t="s">
        <v>1242</v>
      </c>
      <c r="AMS14" s="137" t="s">
        <v>1243</v>
      </c>
      <c r="AMT14" s="137" t="s">
        <v>1244</v>
      </c>
      <c r="AMU14" s="137" t="s">
        <v>1245</v>
      </c>
      <c r="AMV14" s="137" t="s">
        <v>1246</v>
      </c>
      <c r="AMW14" s="137" t="s">
        <v>1247</v>
      </c>
      <c r="AMX14" s="137" t="s">
        <v>1248</v>
      </c>
      <c r="AMY14" s="137" t="s">
        <v>1249</v>
      </c>
      <c r="AMZ14" s="137" t="s">
        <v>1250</v>
      </c>
      <c r="ANA14" s="137" t="s">
        <v>1251</v>
      </c>
      <c r="ANB14" s="137" t="s">
        <v>1252</v>
      </c>
      <c r="ANC14" s="137" t="s">
        <v>1253</v>
      </c>
      <c r="AND14" s="137" t="s">
        <v>1254</v>
      </c>
      <c r="ANE14" s="137" t="s">
        <v>1255</v>
      </c>
      <c r="ANF14" s="137" t="s">
        <v>1256</v>
      </c>
      <c r="ANG14" s="137" t="s">
        <v>1257</v>
      </c>
      <c r="ANH14" s="137" t="s">
        <v>1258</v>
      </c>
      <c r="ANI14" s="137" t="s">
        <v>1259</v>
      </c>
      <c r="ANJ14" s="137" t="s">
        <v>1260</v>
      </c>
      <c r="ANK14" s="137" t="s">
        <v>1261</v>
      </c>
      <c r="ANL14" s="137" t="s">
        <v>1262</v>
      </c>
      <c r="ANM14" s="137" t="s">
        <v>1263</v>
      </c>
      <c r="ANN14" s="137" t="s">
        <v>1264</v>
      </c>
      <c r="ANO14" s="137" t="s">
        <v>1265</v>
      </c>
      <c r="ANP14" s="137" t="s">
        <v>1266</v>
      </c>
      <c r="ANQ14" s="137" t="s">
        <v>1267</v>
      </c>
      <c r="ANR14" s="137" t="s">
        <v>1268</v>
      </c>
      <c r="ANS14" s="137" t="s">
        <v>1269</v>
      </c>
      <c r="ANT14" s="137" t="s">
        <v>1270</v>
      </c>
      <c r="ANU14" s="137" t="s">
        <v>1271</v>
      </c>
      <c r="ANV14" s="137" t="s">
        <v>1272</v>
      </c>
      <c r="ANW14" s="137" t="s">
        <v>1273</v>
      </c>
      <c r="ANX14" s="137" t="s">
        <v>1274</v>
      </c>
      <c r="ANY14" s="137" t="s">
        <v>1275</v>
      </c>
      <c r="ANZ14" s="137" t="s">
        <v>1276</v>
      </c>
      <c r="AOA14" s="137" t="s">
        <v>1277</v>
      </c>
      <c r="AOB14" s="137" t="s">
        <v>1278</v>
      </c>
      <c r="AOC14" s="137" t="s">
        <v>1279</v>
      </c>
      <c r="AOD14" s="137" t="s">
        <v>1280</v>
      </c>
      <c r="AOE14" s="137" t="s">
        <v>1281</v>
      </c>
      <c r="AOF14" s="137" t="s">
        <v>1282</v>
      </c>
      <c r="AOG14" s="137" t="s">
        <v>1283</v>
      </c>
      <c r="AOH14" s="137" t="s">
        <v>1284</v>
      </c>
      <c r="AOI14" s="137" t="s">
        <v>1285</v>
      </c>
      <c r="AOJ14" s="137" t="s">
        <v>1286</v>
      </c>
      <c r="AOK14" s="137" t="s">
        <v>1287</v>
      </c>
      <c r="AOL14" s="137" t="s">
        <v>1288</v>
      </c>
      <c r="AOM14" s="137" t="s">
        <v>1289</v>
      </c>
      <c r="AON14" s="137" t="s">
        <v>1290</v>
      </c>
      <c r="AOO14" s="137" t="s">
        <v>1291</v>
      </c>
      <c r="AOP14" s="137" t="s">
        <v>1292</v>
      </c>
      <c r="AOQ14" s="137" t="s">
        <v>1293</v>
      </c>
      <c r="AOR14" s="137" t="s">
        <v>1294</v>
      </c>
      <c r="AOS14" s="137" t="s">
        <v>1295</v>
      </c>
      <c r="AOT14" s="137" t="s">
        <v>1296</v>
      </c>
      <c r="AOU14" s="137" t="s">
        <v>1297</v>
      </c>
      <c r="AOV14" s="137" t="s">
        <v>1298</v>
      </c>
      <c r="AOW14" s="137" t="s">
        <v>1299</v>
      </c>
      <c r="AOX14" s="137" t="s">
        <v>1300</v>
      </c>
      <c r="AOY14" s="137" t="s">
        <v>1301</v>
      </c>
      <c r="AOZ14" s="137" t="s">
        <v>1302</v>
      </c>
      <c r="APA14" s="137" t="s">
        <v>1303</v>
      </c>
      <c r="APB14" s="137" t="s">
        <v>1304</v>
      </c>
      <c r="APC14" s="137" t="s">
        <v>1305</v>
      </c>
      <c r="APD14" s="137" t="s">
        <v>1306</v>
      </c>
      <c r="APE14" s="137" t="s">
        <v>1307</v>
      </c>
      <c r="APF14" s="137" t="s">
        <v>1308</v>
      </c>
      <c r="APG14" s="137" t="s">
        <v>1309</v>
      </c>
      <c r="APH14" s="137" t="s">
        <v>1310</v>
      </c>
      <c r="API14" s="137" t="s">
        <v>1311</v>
      </c>
      <c r="APJ14" s="137" t="s">
        <v>1312</v>
      </c>
      <c r="APK14" s="137" t="s">
        <v>1313</v>
      </c>
      <c r="APL14" s="137" t="s">
        <v>1314</v>
      </c>
      <c r="APM14" s="137" t="s">
        <v>1315</v>
      </c>
      <c r="APN14" s="137" t="s">
        <v>1316</v>
      </c>
      <c r="APO14" s="137" t="s">
        <v>1317</v>
      </c>
      <c r="APP14" s="137" t="s">
        <v>1318</v>
      </c>
      <c r="APQ14" s="137" t="s">
        <v>1319</v>
      </c>
      <c r="APR14" s="137" t="s">
        <v>1320</v>
      </c>
      <c r="APS14" s="137" t="s">
        <v>1321</v>
      </c>
      <c r="APT14" s="137" t="s">
        <v>1322</v>
      </c>
      <c r="APU14" s="137" t="s">
        <v>1323</v>
      </c>
      <c r="APV14" s="137" t="s">
        <v>1324</v>
      </c>
      <c r="APW14" s="137" t="s">
        <v>1325</v>
      </c>
      <c r="APX14" s="137" t="s">
        <v>1326</v>
      </c>
      <c r="APY14" s="137" t="s">
        <v>1327</v>
      </c>
      <c r="APZ14" s="137" t="s">
        <v>1328</v>
      </c>
      <c r="AQA14" s="137" t="s">
        <v>1329</v>
      </c>
      <c r="AQB14" s="137" t="s">
        <v>1330</v>
      </c>
      <c r="AQC14" s="137" t="s">
        <v>1331</v>
      </c>
      <c r="AQD14" s="137" t="s">
        <v>1332</v>
      </c>
      <c r="AQE14" s="137" t="s">
        <v>1333</v>
      </c>
      <c r="AQF14" s="137" t="s">
        <v>1334</v>
      </c>
      <c r="AQG14" s="137" t="s">
        <v>1335</v>
      </c>
      <c r="AQH14" s="137" t="s">
        <v>1336</v>
      </c>
      <c r="AQI14" s="137" t="s">
        <v>1337</v>
      </c>
      <c r="AQJ14" s="137" t="s">
        <v>1338</v>
      </c>
      <c r="AQK14" s="137" t="s">
        <v>1339</v>
      </c>
      <c r="AQL14" s="137" t="s">
        <v>1340</v>
      </c>
      <c r="AQM14" s="137" t="s">
        <v>1341</v>
      </c>
      <c r="AQN14" s="137" t="s">
        <v>1342</v>
      </c>
      <c r="AQO14" s="137" t="s">
        <v>1343</v>
      </c>
      <c r="AQP14" s="137" t="s">
        <v>1344</v>
      </c>
      <c r="AQQ14" s="137" t="s">
        <v>1345</v>
      </c>
      <c r="AQR14" s="137" t="s">
        <v>1346</v>
      </c>
      <c r="AQS14" s="137" t="s">
        <v>1347</v>
      </c>
      <c r="AQT14" s="137" t="s">
        <v>1348</v>
      </c>
      <c r="AQU14" s="137" t="s">
        <v>1349</v>
      </c>
      <c r="AQV14" s="137" t="s">
        <v>1350</v>
      </c>
      <c r="AQW14" s="137" t="s">
        <v>1351</v>
      </c>
      <c r="AQX14" s="137" t="s">
        <v>1352</v>
      </c>
      <c r="AQY14" s="137" t="s">
        <v>1353</v>
      </c>
      <c r="AQZ14" s="137" t="s">
        <v>1354</v>
      </c>
      <c r="ARA14" s="137" t="s">
        <v>1355</v>
      </c>
      <c r="ARB14" s="137" t="s">
        <v>1356</v>
      </c>
      <c r="ARC14" s="137" t="s">
        <v>1357</v>
      </c>
      <c r="ARD14" s="137" t="s">
        <v>1358</v>
      </c>
      <c r="ARE14" s="137" t="s">
        <v>1359</v>
      </c>
      <c r="ARF14" s="137" t="s">
        <v>1360</v>
      </c>
      <c r="ARG14" s="137" t="s">
        <v>1361</v>
      </c>
      <c r="ARH14" s="137" t="s">
        <v>1362</v>
      </c>
      <c r="ARI14" s="137" t="s">
        <v>1363</v>
      </c>
      <c r="ARJ14" s="137" t="s">
        <v>1364</v>
      </c>
      <c r="ARK14" s="137" t="s">
        <v>1365</v>
      </c>
      <c r="ARL14" s="137" t="s">
        <v>1366</v>
      </c>
      <c r="ARM14" s="137" t="s">
        <v>1367</v>
      </c>
      <c r="ARN14" s="137" t="s">
        <v>1368</v>
      </c>
      <c r="ARO14" s="137" t="s">
        <v>1369</v>
      </c>
      <c r="ARP14" s="137" t="s">
        <v>1370</v>
      </c>
      <c r="ARQ14" s="137" t="s">
        <v>1371</v>
      </c>
      <c r="ARR14" s="137" t="s">
        <v>1372</v>
      </c>
      <c r="ARS14" s="137" t="s">
        <v>1373</v>
      </c>
      <c r="ART14" s="137" t="s">
        <v>1374</v>
      </c>
      <c r="ARU14" s="137" t="s">
        <v>1375</v>
      </c>
      <c r="ARV14" s="137" t="s">
        <v>1376</v>
      </c>
      <c r="ARW14" s="137" t="s">
        <v>1377</v>
      </c>
      <c r="ARX14" s="137" t="s">
        <v>1378</v>
      </c>
      <c r="ARY14" s="137" t="s">
        <v>1379</v>
      </c>
      <c r="ARZ14" s="137" t="s">
        <v>1380</v>
      </c>
      <c r="ASA14" s="137" t="s">
        <v>1381</v>
      </c>
      <c r="ASB14" s="137" t="s">
        <v>1382</v>
      </c>
      <c r="ASC14" s="137" t="s">
        <v>1383</v>
      </c>
      <c r="ASD14" s="137" t="s">
        <v>1384</v>
      </c>
      <c r="ASE14" s="137" t="s">
        <v>1385</v>
      </c>
      <c r="ASF14" s="137" t="s">
        <v>1386</v>
      </c>
      <c r="ASG14" s="137" t="s">
        <v>1387</v>
      </c>
      <c r="ASH14" s="137" t="s">
        <v>1388</v>
      </c>
      <c r="ASI14" s="137" t="s">
        <v>1389</v>
      </c>
      <c r="ASJ14" s="137" t="s">
        <v>1390</v>
      </c>
      <c r="ASK14" s="137" t="s">
        <v>1391</v>
      </c>
      <c r="ASL14" s="137" t="s">
        <v>1392</v>
      </c>
      <c r="ASM14" s="137" t="s">
        <v>1393</v>
      </c>
      <c r="ASN14" s="137" t="s">
        <v>1394</v>
      </c>
      <c r="ASO14" s="137" t="s">
        <v>1395</v>
      </c>
      <c r="ASP14" s="137" t="s">
        <v>1396</v>
      </c>
      <c r="ASQ14" s="137" t="s">
        <v>1397</v>
      </c>
      <c r="ASR14" s="137" t="s">
        <v>1398</v>
      </c>
      <c r="ASS14" s="137" t="s">
        <v>1399</v>
      </c>
      <c r="AST14" s="137" t="s">
        <v>1400</v>
      </c>
      <c r="ASU14" s="137" t="s">
        <v>1401</v>
      </c>
      <c r="ASV14" s="137" t="s">
        <v>1402</v>
      </c>
      <c r="ASW14" s="137" t="s">
        <v>1403</v>
      </c>
      <c r="ASX14" s="137" t="s">
        <v>1404</v>
      </c>
      <c r="ASY14" s="137" t="s">
        <v>1405</v>
      </c>
      <c r="ASZ14" s="137" t="s">
        <v>1406</v>
      </c>
      <c r="ATA14" s="137" t="s">
        <v>1407</v>
      </c>
      <c r="ATB14" s="137" t="s">
        <v>1408</v>
      </c>
      <c r="ATC14" s="137" t="s">
        <v>1409</v>
      </c>
      <c r="ATD14" s="137" t="s">
        <v>1410</v>
      </c>
      <c r="ATE14" s="137" t="s">
        <v>1411</v>
      </c>
      <c r="ATF14" s="137" t="s">
        <v>1412</v>
      </c>
      <c r="ATG14" s="137" t="s">
        <v>1413</v>
      </c>
      <c r="ATH14" s="137" t="s">
        <v>1414</v>
      </c>
      <c r="ATI14" s="137" t="s">
        <v>1415</v>
      </c>
      <c r="ATJ14" s="137" t="s">
        <v>1416</v>
      </c>
      <c r="ATK14" s="137" t="s">
        <v>1417</v>
      </c>
      <c r="ATL14" s="137" t="s">
        <v>1418</v>
      </c>
      <c r="ATM14" s="137" t="s">
        <v>1419</v>
      </c>
      <c r="ATN14" s="137" t="s">
        <v>1420</v>
      </c>
      <c r="ATO14" s="137" t="s">
        <v>1421</v>
      </c>
      <c r="ATP14" s="137" t="s">
        <v>1422</v>
      </c>
      <c r="ATQ14" s="137" t="s">
        <v>1423</v>
      </c>
      <c r="ATR14" s="137" t="s">
        <v>1424</v>
      </c>
      <c r="ATS14" s="137" t="s">
        <v>1425</v>
      </c>
      <c r="ATT14" s="137" t="s">
        <v>1426</v>
      </c>
      <c r="ATU14" s="137" t="s">
        <v>1427</v>
      </c>
      <c r="ATV14" s="137" t="s">
        <v>1428</v>
      </c>
      <c r="ATW14" s="137" t="s">
        <v>1429</v>
      </c>
      <c r="ATX14" s="137" t="s">
        <v>1430</v>
      </c>
      <c r="ATY14" s="137" t="s">
        <v>1431</v>
      </c>
      <c r="ATZ14" s="137" t="s">
        <v>1432</v>
      </c>
      <c r="AUA14" s="137" t="s">
        <v>1433</v>
      </c>
      <c r="AUB14" s="137" t="s">
        <v>1434</v>
      </c>
      <c r="AUC14" s="137" t="s">
        <v>1435</v>
      </c>
      <c r="AUD14" s="137" t="s">
        <v>1436</v>
      </c>
      <c r="AUE14" s="137" t="s">
        <v>1437</v>
      </c>
      <c r="AUF14" s="137" t="s">
        <v>1438</v>
      </c>
      <c r="AUG14" s="137" t="s">
        <v>1439</v>
      </c>
      <c r="AUH14" s="137" t="s">
        <v>1440</v>
      </c>
      <c r="AUI14" s="137" t="s">
        <v>1441</v>
      </c>
      <c r="AUJ14" s="137" t="s">
        <v>1442</v>
      </c>
      <c r="AUK14" s="137" t="s">
        <v>1443</v>
      </c>
      <c r="AUL14" s="137" t="s">
        <v>1444</v>
      </c>
      <c r="AUM14" s="137" t="s">
        <v>1445</v>
      </c>
      <c r="AUN14" s="137" t="s">
        <v>1446</v>
      </c>
      <c r="AUO14" s="137" t="s">
        <v>1447</v>
      </c>
      <c r="AUP14" s="137" t="s">
        <v>1448</v>
      </c>
      <c r="AUQ14" s="137" t="s">
        <v>1449</v>
      </c>
      <c r="AUR14" s="137" t="s">
        <v>1450</v>
      </c>
      <c r="AUS14" s="137" t="s">
        <v>1451</v>
      </c>
      <c r="AUT14" s="137" t="s">
        <v>1452</v>
      </c>
      <c r="AUU14" s="137" t="s">
        <v>1453</v>
      </c>
      <c r="AUV14" s="137" t="s">
        <v>1454</v>
      </c>
      <c r="AUW14" s="137" t="s">
        <v>1455</v>
      </c>
      <c r="AUX14" s="137" t="s">
        <v>1456</v>
      </c>
      <c r="AUY14" s="137" t="s">
        <v>1457</v>
      </c>
      <c r="AUZ14" s="137" t="s">
        <v>1458</v>
      </c>
      <c r="AVA14" s="137" t="s">
        <v>1459</v>
      </c>
      <c r="AVB14" s="137" t="s">
        <v>1460</v>
      </c>
      <c r="AVC14" s="137" t="s">
        <v>1461</v>
      </c>
      <c r="AVD14" s="137" t="s">
        <v>1462</v>
      </c>
      <c r="AVE14" s="137" t="s">
        <v>1463</v>
      </c>
      <c r="AVF14" s="137" t="s">
        <v>1464</v>
      </c>
      <c r="AVG14" s="137" t="s">
        <v>1465</v>
      </c>
      <c r="AVH14" s="137" t="s">
        <v>1466</v>
      </c>
      <c r="AVI14" s="137" t="s">
        <v>1467</v>
      </c>
      <c r="AVJ14" s="137" t="s">
        <v>1468</v>
      </c>
      <c r="AVK14" s="137" t="s">
        <v>1469</v>
      </c>
      <c r="AVL14" s="137" t="s">
        <v>1470</v>
      </c>
      <c r="AVM14" s="137" t="s">
        <v>1471</v>
      </c>
      <c r="AVN14" s="137" t="s">
        <v>1472</v>
      </c>
      <c r="AVO14" s="137" t="s">
        <v>1473</v>
      </c>
      <c r="AVP14" s="137" t="s">
        <v>1474</v>
      </c>
      <c r="AVQ14" s="137" t="s">
        <v>1475</v>
      </c>
      <c r="AVR14" s="137" t="s">
        <v>1476</v>
      </c>
      <c r="AVS14" s="137" t="s">
        <v>1477</v>
      </c>
      <c r="AVT14" s="137" t="s">
        <v>1478</v>
      </c>
      <c r="AVU14" s="137" t="s">
        <v>1479</v>
      </c>
      <c r="AVV14" s="137" t="s">
        <v>1480</v>
      </c>
      <c r="AVW14" s="137" t="s">
        <v>1481</v>
      </c>
      <c r="AVX14" s="137" t="s">
        <v>1482</v>
      </c>
      <c r="AVY14" s="137" t="s">
        <v>1483</v>
      </c>
      <c r="AVZ14" s="137" t="s">
        <v>1484</v>
      </c>
      <c r="AWA14" s="137" t="s">
        <v>1485</v>
      </c>
      <c r="AWB14" s="137" t="s">
        <v>1486</v>
      </c>
      <c r="AWC14" s="137" t="s">
        <v>1487</v>
      </c>
      <c r="AWD14" s="137" t="s">
        <v>1488</v>
      </c>
      <c r="AWE14" s="137" t="s">
        <v>1489</v>
      </c>
      <c r="AWF14" s="137" t="s">
        <v>1490</v>
      </c>
      <c r="AWG14" s="137" t="s">
        <v>1491</v>
      </c>
      <c r="AWH14" s="137" t="s">
        <v>1492</v>
      </c>
      <c r="AWI14" s="137" t="s">
        <v>1493</v>
      </c>
      <c r="AWJ14" s="137" t="s">
        <v>1494</v>
      </c>
      <c r="AWK14" s="137" t="s">
        <v>1495</v>
      </c>
      <c r="AWL14" s="137" t="s">
        <v>1496</v>
      </c>
      <c r="AWM14" s="137" t="s">
        <v>1497</v>
      </c>
      <c r="AWN14" s="137" t="s">
        <v>1498</v>
      </c>
      <c r="AWO14" s="137" t="s">
        <v>1499</v>
      </c>
      <c r="AWP14" s="137" t="s">
        <v>1500</v>
      </c>
      <c r="AWQ14" s="137" t="s">
        <v>1501</v>
      </c>
      <c r="AWR14" s="137" t="s">
        <v>1502</v>
      </c>
      <c r="AWS14" s="137" t="s">
        <v>1503</v>
      </c>
      <c r="AWT14" s="137" t="s">
        <v>1504</v>
      </c>
      <c r="AWU14" s="137" t="s">
        <v>1505</v>
      </c>
      <c r="AWV14" s="137" t="s">
        <v>1506</v>
      </c>
      <c r="AWW14" s="137" t="s">
        <v>1507</v>
      </c>
      <c r="AWX14" s="137" t="s">
        <v>1508</v>
      </c>
      <c r="AWY14" s="137" t="s">
        <v>1509</v>
      </c>
      <c r="AWZ14" s="137" t="s">
        <v>1510</v>
      </c>
      <c r="AXA14" s="137" t="s">
        <v>1511</v>
      </c>
      <c r="AXB14" s="137" t="s">
        <v>1512</v>
      </c>
      <c r="AXC14" s="137" t="s">
        <v>1513</v>
      </c>
      <c r="AXD14" s="137" t="s">
        <v>1514</v>
      </c>
      <c r="AXE14" s="137" t="s">
        <v>1515</v>
      </c>
      <c r="AXF14" s="137" t="s">
        <v>1516</v>
      </c>
      <c r="AXG14" s="137" t="s">
        <v>1517</v>
      </c>
      <c r="AXH14" s="137" t="s">
        <v>1518</v>
      </c>
      <c r="AXI14" s="137" t="s">
        <v>1519</v>
      </c>
      <c r="AXJ14" s="137" t="s">
        <v>1520</v>
      </c>
      <c r="AXK14" s="137" t="s">
        <v>1521</v>
      </c>
      <c r="AXL14" s="137" t="s">
        <v>1522</v>
      </c>
      <c r="AXM14" s="137" t="s">
        <v>1523</v>
      </c>
      <c r="AXN14" s="137" t="s">
        <v>1524</v>
      </c>
      <c r="AXO14" s="137" t="s">
        <v>1525</v>
      </c>
      <c r="AXP14" s="137" t="s">
        <v>1526</v>
      </c>
      <c r="AXQ14" s="137" t="s">
        <v>1527</v>
      </c>
      <c r="AXR14" s="137" t="s">
        <v>1528</v>
      </c>
      <c r="AXS14" s="137" t="s">
        <v>1529</v>
      </c>
      <c r="AXT14" s="137" t="s">
        <v>1530</v>
      </c>
      <c r="AXU14" s="137" t="s">
        <v>1531</v>
      </c>
      <c r="AXV14" s="137" t="s">
        <v>1532</v>
      </c>
      <c r="AXW14" s="137" t="s">
        <v>1533</v>
      </c>
      <c r="AXX14" s="137" t="s">
        <v>1534</v>
      </c>
      <c r="AXY14" s="137" t="s">
        <v>1535</v>
      </c>
      <c r="AXZ14" s="137" t="s">
        <v>1536</v>
      </c>
      <c r="AYA14" s="137" t="s">
        <v>1537</v>
      </c>
      <c r="AYB14" s="137" t="s">
        <v>1538</v>
      </c>
      <c r="AYC14" s="137" t="s">
        <v>1539</v>
      </c>
      <c r="AYD14" s="137" t="s">
        <v>1540</v>
      </c>
      <c r="AYE14" s="137" t="s">
        <v>1541</v>
      </c>
      <c r="AYF14" s="137" t="s">
        <v>1542</v>
      </c>
      <c r="AYG14" s="137" t="s">
        <v>1543</v>
      </c>
      <c r="AYH14" s="137" t="s">
        <v>1544</v>
      </c>
      <c r="AYI14" s="137" t="s">
        <v>1545</v>
      </c>
      <c r="AYJ14" s="137" t="s">
        <v>1546</v>
      </c>
      <c r="AYK14" s="137" t="s">
        <v>1547</v>
      </c>
      <c r="AYL14" s="137" t="s">
        <v>1548</v>
      </c>
      <c r="AYM14" s="137" t="s">
        <v>1549</v>
      </c>
      <c r="AYN14" s="137" t="s">
        <v>1550</v>
      </c>
      <c r="AYO14" s="137" t="s">
        <v>1551</v>
      </c>
      <c r="AYP14" s="137" t="s">
        <v>1552</v>
      </c>
      <c r="AYQ14" s="137" t="s">
        <v>1553</v>
      </c>
      <c r="AYR14" s="137" t="s">
        <v>1554</v>
      </c>
      <c r="AYS14" s="137" t="s">
        <v>1555</v>
      </c>
      <c r="AYT14" s="137" t="s">
        <v>1556</v>
      </c>
      <c r="AYU14" s="137" t="s">
        <v>1557</v>
      </c>
      <c r="AYV14" s="137" t="s">
        <v>1558</v>
      </c>
      <c r="AYW14" s="137" t="s">
        <v>1559</v>
      </c>
      <c r="AYX14" s="137" t="s">
        <v>1560</v>
      </c>
      <c r="AYY14" s="137" t="s">
        <v>1561</v>
      </c>
      <c r="AYZ14" s="137" t="s">
        <v>1562</v>
      </c>
      <c r="AZA14" s="137" t="s">
        <v>1563</v>
      </c>
      <c r="AZB14" s="137" t="s">
        <v>1564</v>
      </c>
      <c r="AZC14" s="137" t="s">
        <v>1565</v>
      </c>
      <c r="AZD14" s="137" t="s">
        <v>1566</v>
      </c>
      <c r="AZE14" s="137" t="s">
        <v>1567</v>
      </c>
      <c r="AZF14" s="137" t="s">
        <v>1568</v>
      </c>
      <c r="AZG14" s="137" t="s">
        <v>1569</v>
      </c>
      <c r="AZH14" s="137" t="s">
        <v>1570</v>
      </c>
      <c r="AZI14" s="137" t="s">
        <v>1571</v>
      </c>
      <c r="AZJ14" s="137" t="s">
        <v>1572</v>
      </c>
      <c r="AZK14" s="137" t="s">
        <v>1573</v>
      </c>
      <c r="AZL14" s="137" t="s">
        <v>1574</v>
      </c>
      <c r="AZM14" s="137" t="s">
        <v>1575</v>
      </c>
      <c r="AZN14" s="137" t="s">
        <v>1576</v>
      </c>
      <c r="AZO14" s="137" t="s">
        <v>1577</v>
      </c>
      <c r="AZP14" s="137" t="s">
        <v>1578</v>
      </c>
      <c r="AZQ14" s="137" t="s">
        <v>1579</v>
      </c>
      <c r="AZR14" s="137" t="s">
        <v>1580</v>
      </c>
      <c r="AZS14" s="137" t="s">
        <v>1581</v>
      </c>
      <c r="AZT14" s="137" t="s">
        <v>1582</v>
      </c>
      <c r="AZU14" s="137" t="s">
        <v>1583</v>
      </c>
      <c r="AZV14" s="137" t="s">
        <v>1584</v>
      </c>
      <c r="AZW14" s="137" t="s">
        <v>1585</v>
      </c>
      <c r="AZX14" s="137" t="s">
        <v>1586</v>
      </c>
      <c r="AZY14" s="137" t="s">
        <v>1587</v>
      </c>
      <c r="AZZ14" s="137" t="s">
        <v>1588</v>
      </c>
      <c r="BAA14" s="137" t="s">
        <v>1589</v>
      </c>
      <c r="BAB14" s="137" t="s">
        <v>1590</v>
      </c>
      <c r="BAC14" s="137" t="s">
        <v>1591</v>
      </c>
      <c r="BAD14" s="137" t="s">
        <v>1592</v>
      </c>
      <c r="BAE14" s="137" t="s">
        <v>1593</v>
      </c>
      <c r="BAF14" s="137" t="s">
        <v>1594</v>
      </c>
      <c r="BAG14" s="137" t="s">
        <v>1595</v>
      </c>
      <c r="BAH14" s="137" t="s">
        <v>1596</v>
      </c>
      <c r="BAI14" s="137" t="s">
        <v>1597</v>
      </c>
      <c r="BAJ14" s="137" t="s">
        <v>1598</v>
      </c>
      <c r="BAK14" s="137" t="s">
        <v>1599</v>
      </c>
      <c r="BAL14" s="137" t="s">
        <v>1600</v>
      </c>
      <c r="BAM14" s="137" t="s">
        <v>1601</v>
      </c>
      <c r="BAN14" s="137" t="s">
        <v>1602</v>
      </c>
      <c r="BAO14" s="137" t="s">
        <v>1603</v>
      </c>
      <c r="BAP14" s="137" t="s">
        <v>1604</v>
      </c>
      <c r="BAQ14" s="137" t="s">
        <v>1605</v>
      </c>
      <c r="BAR14" s="137" t="s">
        <v>1606</v>
      </c>
      <c r="BAS14" s="137" t="s">
        <v>1607</v>
      </c>
      <c r="BAT14" s="137" t="s">
        <v>1608</v>
      </c>
      <c r="BAU14" s="137" t="s">
        <v>1609</v>
      </c>
      <c r="BAV14" s="137" t="s">
        <v>1610</v>
      </c>
      <c r="BAW14" s="137" t="s">
        <v>1611</v>
      </c>
      <c r="BAX14" s="137" t="s">
        <v>1612</v>
      </c>
      <c r="BAY14" s="137" t="s">
        <v>1613</v>
      </c>
      <c r="BAZ14" s="137" t="s">
        <v>1614</v>
      </c>
      <c r="BBA14" s="137" t="s">
        <v>1615</v>
      </c>
      <c r="BBB14" s="137" t="s">
        <v>1616</v>
      </c>
      <c r="BBC14" s="137" t="s">
        <v>1617</v>
      </c>
      <c r="BBD14" s="137" t="s">
        <v>1618</v>
      </c>
      <c r="BBE14" s="137" t="s">
        <v>1619</v>
      </c>
      <c r="BBF14" s="137" t="s">
        <v>1620</v>
      </c>
      <c r="BBG14" s="137" t="s">
        <v>1621</v>
      </c>
      <c r="BBH14" s="137" t="s">
        <v>1622</v>
      </c>
      <c r="BBI14" s="137" t="s">
        <v>1623</v>
      </c>
      <c r="BBJ14" s="137" t="s">
        <v>1624</v>
      </c>
      <c r="BBK14" s="137" t="s">
        <v>1625</v>
      </c>
      <c r="BBL14" s="137" t="s">
        <v>1626</v>
      </c>
      <c r="BBM14" s="137" t="s">
        <v>1627</v>
      </c>
      <c r="BBN14" s="137" t="s">
        <v>1628</v>
      </c>
      <c r="BBO14" s="137" t="s">
        <v>1629</v>
      </c>
      <c r="BBP14" s="137" t="s">
        <v>1630</v>
      </c>
      <c r="BBQ14" s="137" t="s">
        <v>1631</v>
      </c>
      <c r="BBR14" s="137" t="s">
        <v>1632</v>
      </c>
      <c r="BBS14" s="137" t="s">
        <v>1633</v>
      </c>
      <c r="BBT14" s="137" t="s">
        <v>1634</v>
      </c>
      <c r="BBU14" s="137" t="s">
        <v>1635</v>
      </c>
      <c r="BBV14" s="137" t="s">
        <v>1636</v>
      </c>
      <c r="BBW14" s="137" t="s">
        <v>1637</v>
      </c>
      <c r="BBX14" s="137" t="s">
        <v>1638</v>
      </c>
      <c r="BBY14" s="137" t="s">
        <v>1639</v>
      </c>
      <c r="BBZ14" s="137" t="s">
        <v>1640</v>
      </c>
      <c r="BCA14" s="137" t="s">
        <v>1641</v>
      </c>
      <c r="BCB14" s="137" t="s">
        <v>1642</v>
      </c>
      <c r="BCC14" s="137" t="s">
        <v>1643</v>
      </c>
      <c r="BCD14" s="137" t="s">
        <v>1644</v>
      </c>
      <c r="BCE14" s="137" t="s">
        <v>1645</v>
      </c>
      <c r="BCF14" s="137" t="s">
        <v>1646</v>
      </c>
      <c r="BCG14" s="137" t="s">
        <v>1647</v>
      </c>
      <c r="BCH14" s="137" t="s">
        <v>1648</v>
      </c>
      <c r="BCI14" s="137" t="s">
        <v>1649</v>
      </c>
      <c r="BCJ14" s="137" t="s">
        <v>1650</v>
      </c>
      <c r="BCK14" s="137" t="s">
        <v>1651</v>
      </c>
      <c r="BCL14" s="137" t="s">
        <v>1652</v>
      </c>
      <c r="BCM14" s="137" t="s">
        <v>1653</v>
      </c>
      <c r="BCN14" s="137" t="s">
        <v>1654</v>
      </c>
      <c r="BCO14" s="137" t="s">
        <v>1655</v>
      </c>
      <c r="BCP14" s="137" t="s">
        <v>1656</v>
      </c>
      <c r="BCQ14" s="137" t="s">
        <v>1657</v>
      </c>
      <c r="BCR14" s="137" t="s">
        <v>1658</v>
      </c>
      <c r="BCS14" s="137" t="s">
        <v>1659</v>
      </c>
      <c r="BCT14" s="137" t="s">
        <v>1660</v>
      </c>
      <c r="BCU14" s="137" t="s">
        <v>1661</v>
      </c>
      <c r="BCV14" s="137" t="s">
        <v>1662</v>
      </c>
      <c r="BCW14" s="137" t="s">
        <v>1663</v>
      </c>
      <c r="BCX14" s="137" t="s">
        <v>1664</v>
      </c>
      <c r="BCY14" s="137" t="s">
        <v>1665</v>
      </c>
      <c r="BCZ14" s="137" t="s">
        <v>1666</v>
      </c>
      <c r="BDA14" s="137" t="s">
        <v>1667</v>
      </c>
      <c r="BDB14" s="137" t="s">
        <v>1668</v>
      </c>
      <c r="BDC14" s="137" t="s">
        <v>1669</v>
      </c>
      <c r="BDD14" s="137" t="s">
        <v>1670</v>
      </c>
      <c r="BDE14" s="137" t="s">
        <v>1671</v>
      </c>
      <c r="BDF14" s="137" t="s">
        <v>1672</v>
      </c>
      <c r="BDG14" s="137" t="s">
        <v>1673</v>
      </c>
      <c r="BDH14" s="137" t="s">
        <v>1674</v>
      </c>
      <c r="BDI14" s="137" t="s">
        <v>1675</v>
      </c>
      <c r="BDJ14" s="137" t="s">
        <v>1676</v>
      </c>
      <c r="BDK14" s="137" t="s">
        <v>1677</v>
      </c>
      <c r="BDL14" s="137" t="s">
        <v>1678</v>
      </c>
      <c r="BDM14" s="137" t="s">
        <v>1679</v>
      </c>
      <c r="BDN14" s="137" t="s">
        <v>1680</v>
      </c>
      <c r="BDO14" s="137" t="s">
        <v>1681</v>
      </c>
      <c r="BDP14" s="137" t="s">
        <v>1682</v>
      </c>
      <c r="BDQ14" s="137" t="s">
        <v>1683</v>
      </c>
      <c r="BDR14" s="137" t="s">
        <v>1684</v>
      </c>
      <c r="BDS14" s="137" t="s">
        <v>1685</v>
      </c>
      <c r="BDT14" s="137" t="s">
        <v>1686</v>
      </c>
      <c r="BDU14" s="137" t="s">
        <v>1687</v>
      </c>
      <c r="BDV14" s="137" t="s">
        <v>1688</v>
      </c>
      <c r="BDW14" s="137" t="s">
        <v>1689</v>
      </c>
      <c r="BDX14" s="137" t="s">
        <v>1690</v>
      </c>
      <c r="BDY14" s="137" t="s">
        <v>1691</v>
      </c>
      <c r="BDZ14" s="137" t="s">
        <v>1692</v>
      </c>
      <c r="BEA14" s="137" t="s">
        <v>1693</v>
      </c>
      <c r="BEB14" s="137" t="s">
        <v>1694</v>
      </c>
      <c r="BEC14" s="137" t="s">
        <v>1695</v>
      </c>
      <c r="BED14" s="137" t="s">
        <v>1696</v>
      </c>
      <c r="BEE14" s="137" t="s">
        <v>1697</v>
      </c>
      <c r="BEF14" s="137" t="s">
        <v>1698</v>
      </c>
      <c r="BEG14" s="137" t="s">
        <v>1699</v>
      </c>
      <c r="BEH14" s="137" t="s">
        <v>1700</v>
      </c>
      <c r="BEI14" s="137" t="s">
        <v>1701</v>
      </c>
      <c r="BEJ14" s="137" t="s">
        <v>1702</v>
      </c>
      <c r="BEK14" s="137" t="s">
        <v>1703</v>
      </c>
      <c r="BEL14" s="137" t="s">
        <v>1704</v>
      </c>
      <c r="BEM14" s="137" t="s">
        <v>1705</v>
      </c>
      <c r="BEN14" s="137" t="s">
        <v>1706</v>
      </c>
      <c r="BEO14" s="137" t="s">
        <v>1707</v>
      </c>
      <c r="BEP14" s="137" t="s">
        <v>1708</v>
      </c>
      <c r="BEQ14" s="137" t="s">
        <v>1709</v>
      </c>
      <c r="BER14" s="137" t="s">
        <v>1710</v>
      </c>
      <c r="BES14" s="137" t="s">
        <v>1711</v>
      </c>
      <c r="BET14" s="137" t="s">
        <v>1712</v>
      </c>
      <c r="BEU14" s="137" t="s">
        <v>1713</v>
      </c>
      <c r="BEV14" s="137" t="s">
        <v>1714</v>
      </c>
      <c r="BEW14" s="137" t="s">
        <v>1715</v>
      </c>
      <c r="BEX14" s="137" t="s">
        <v>1716</v>
      </c>
      <c r="BEY14" s="137" t="s">
        <v>1717</v>
      </c>
      <c r="BEZ14" s="137" t="s">
        <v>1718</v>
      </c>
      <c r="BFA14" s="137" t="s">
        <v>1719</v>
      </c>
      <c r="BFB14" s="137" t="s">
        <v>1720</v>
      </c>
      <c r="BFC14" s="137" t="s">
        <v>1721</v>
      </c>
      <c r="BFD14" s="137" t="s">
        <v>1722</v>
      </c>
      <c r="BFE14" s="137" t="s">
        <v>1723</v>
      </c>
      <c r="BFF14" s="137" t="s">
        <v>1724</v>
      </c>
      <c r="BFG14" s="137" t="s">
        <v>1725</v>
      </c>
      <c r="BFH14" s="137" t="s">
        <v>1726</v>
      </c>
      <c r="BFI14" s="137" t="s">
        <v>1727</v>
      </c>
      <c r="BFJ14" s="137" t="s">
        <v>1728</v>
      </c>
      <c r="BFK14" s="137" t="s">
        <v>1729</v>
      </c>
      <c r="BFL14" s="137" t="s">
        <v>1730</v>
      </c>
      <c r="BFM14" s="137" t="s">
        <v>1731</v>
      </c>
      <c r="BFN14" s="137" t="s">
        <v>1732</v>
      </c>
      <c r="BFO14" s="137" t="s">
        <v>1733</v>
      </c>
      <c r="BFP14" s="137" t="s">
        <v>1734</v>
      </c>
      <c r="BFQ14" s="137" t="s">
        <v>1735</v>
      </c>
      <c r="BFR14" s="137" t="s">
        <v>1736</v>
      </c>
      <c r="BFS14" s="137" t="s">
        <v>1737</v>
      </c>
      <c r="BFT14" s="137" t="s">
        <v>1738</v>
      </c>
      <c r="BFU14" s="137" t="s">
        <v>1739</v>
      </c>
      <c r="BFV14" s="137" t="s">
        <v>1740</v>
      </c>
      <c r="BFW14" s="137" t="s">
        <v>1741</v>
      </c>
      <c r="BFX14" s="137" t="s">
        <v>1742</v>
      </c>
      <c r="BFY14" s="137" t="s">
        <v>1743</v>
      </c>
      <c r="BFZ14" s="137" t="s">
        <v>1744</v>
      </c>
      <c r="BGA14" s="137" t="s">
        <v>1745</v>
      </c>
      <c r="BGB14" s="137" t="s">
        <v>1746</v>
      </c>
      <c r="BGC14" s="137" t="s">
        <v>1747</v>
      </c>
      <c r="BGD14" s="137" t="s">
        <v>1748</v>
      </c>
      <c r="BGE14" s="137" t="s">
        <v>1749</v>
      </c>
      <c r="BGF14" s="137" t="s">
        <v>1750</v>
      </c>
      <c r="BGG14" s="137" t="s">
        <v>1751</v>
      </c>
      <c r="BGH14" s="137" t="s">
        <v>1752</v>
      </c>
      <c r="BGI14" s="137" t="s">
        <v>1753</v>
      </c>
      <c r="BGJ14" s="137" t="s">
        <v>1754</v>
      </c>
      <c r="BGK14" s="137" t="s">
        <v>1755</v>
      </c>
      <c r="BGL14" s="137" t="s">
        <v>1756</v>
      </c>
      <c r="BGM14" s="137" t="s">
        <v>1757</v>
      </c>
      <c r="BGN14" s="137" t="s">
        <v>1758</v>
      </c>
      <c r="BGO14" s="137" t="s">
        <v>1759</v>
      </c>
      <c r="BGP14" s="137" t="s">
        <v>1760</v>
      </c>
      <c r="BGQ14" s="137" t="s">
        <v>1761</v>
      </c>
      <c r="BGR14" s="137" t="s">
        <v>1762</v>
      </c>
      <c r="BGS14" s="137" t="s">
        <v>1763</v>
      </c>
      <c r="BGT14" s="137" t="s">
        <v>1764</v>
      </c>
      <c r="BGU14" s="137" t="s">
        <v>1765</v>
      </c>
      <c r="BGV14" s="137" t="s">
        <v>1766</v>
      </c>
      <c r="BGW14" s="137" t="s">
        <v>1767</v>
      </c>
      <c r="BGX14" s="137" t="s">
        <v>1768</v>
      </c>
      <c r="BGY14" s="137" t="s">
        <v>1769</v>
      </c>
      <c r="BGZ14" s="137" t="s">
        <v>1770</v>
      </c>
      <c r="BHA14" s="137" t="s">
        <v>1771</v>
      </c>
      <c r="BHB14" s="137" t="s">
        <v>1772</v>
      </c>
      <c r="BHC14" s="137" t="s">
        <v>1773</v>
      </c>
      <c r="BHD14" s="137" t="s">
        <v>1774</v>
      </c>
      <c r="BHE14" s="137" t="s">
        <v>1775</v>
      </c>
      <c r="BHF14" s="137" t="s">
        <v>1776</v>
      </c>
      <c r="BHG14" s="137" t="s">
        <v>1777</v>
      </c>
      <c r="BHH14" s="137" t="s">
        <v>1778</v>
      </c>
      <c r="BHI14" s="137" t="s">
        <v>1779</v>
      </c>
      <c r="BHJ14" s="137" t="s">
        <v>1780</v>
      </c>
      <c r="BHK14" s="137" t="s">
        <v>1781</v>
      </c>
      <c r="BHL14" s="137" t="s">
        <v>1782</v>
      </c>
      <c r="BHM14" s="137" t="s">
        <v>1783</v>
      </c>
      <c r="BHN14" s="137" t="s">
        <v>1784</v>
      </c>
      <c r="BHO14" s="137" t="s">
        <v>1785</v>
      </c>
      <c r="BHP14" s="137" t="s">
        <v>1786</v>
      </c>
      <c r="BHQ14" s="137" t="s">
        <v>1787</v>
      </c>
      <c r="BHR14" s="137" t="s">
        <v>1788</v>
      </c>
      <c r="BHS14" s="137" t="s">
        <v>1789</v>
      </c>
      <c r="BHT14" s="137" t="s">
        <v>1790</v>
      </c>
      <c r="BHU14" s="137" t="s">
        <v>1791</v>
      </c>
      <c r="BHV14" s="137" t="s">
        <v>1792</v>
      </c>
      <c r="BHW14" s="137" t="s">
        <v>1793</v>
      </c>
      <c r="BHX14" s="137" t="s">
        <v>1794</v>
      </c>
      <c r="BHY14" s="137" t="s">
        <v>1795</v>
      </c>
      <c r="BHZ14" s="137" t="s">
        <v>1796</v>
      </c>
      <c r="BIA14" s="137" t="s">
        <v>1797</v>
      </c>
      <c r="BIB14" s="137" t="s">
        <v>1798</v>
      </c>
      <c r="BIC14" s="137" t="s">
        <v>1799</v>
      </c>
      <c r="BID14" s="137" t="s">
        <v>1800</v>
      </c>
      <c r="BIE14" s="137" t="s">
        <v>1801</v>
      </c>
      <c r="BIF14" s="137" t="s">
        <v>1802</v>
      </c>
      <c r="BIG14" s="137" t="s">
        <v>1803</v>
      </c>
      <c r="BIH14" s="137" t="s">
        <v>1804</v>
      </c>
      <c r="BII14" s="137" t="s">
        <v>1805</v>
      </c>
      <c r="BIJ14" s="137" t="s">
        <v>1806</v>
      </c>
      <c r="BIK14" s="137" t="s">
        <v>1807</v>
      </c>
      <c r="BIL14" s="137" t="s">
        <v>1808</v>
      </c>
      <c r="BIM14" s="137" t="s">
        <v>1809</v>
      </c>
      <c r="BIN14" s="137" t="s">
        <v>1810</v>
      </c>
      <c r="BIO14" s="137" t="s">
        <v>1811</v>
      </c>
      <c r="BIP14" s="137" t="s">
        <v>1812</v>
      </c>
      <c r="BIQ14" s="137" t="s">
        <v>1813</v>
      </c>
      <c r="BIR14" s="137" t="s">
        <v>1814</v>
      </c>
      <c r="BIS14" s="137" t="s">
        <v>1815</v>
      </c>
      <c r="BIT14" s="137" t="s">
        <v>1816</v>
      </c>
      <c r="BIU14" s="137" t="s">
        <v>1817</v>
      </c>
      <c r="BIV14" s="137" t="s">
        <v>1818</v>
      </c>
      <c r="BIW14" s="137" t="s">
        <v>1819</v>
      </c>
      <c r="BIX14" s="137" t="s">
        <v>1820</v>
      </c>
      <c r="BIY14" s="137" t="s">
        <v>1821</v>
      </c>
      <c r="BIZ14" s="137" t="s">
        <v>1822</v>
      </c>
      <c r="BJA14" s="137" t="s">
        <v>1823</v>
      </c>
      <c r="BJB14" s="137" t="s">
        <v>1824</v>
      </c>
      <c r="BJC14" s="137" t="s">
        <v>1825</v>
      </c>
      <c r="BJD14" s="137" t="s">
        <v>1826</v>
      </c>
      <c r="BJE14" s="137" t="s">
        <v>1827</v>
      </c>
      <c r="BJF14" s="137" t="s">
        <v>1828</v>
      </c>
      <c r="BJG14" s="137" t="s">
        <v>1829</v>
      </c>
      <c r="BJH14" s="137" t="s">
        <v>1830</v>
      </c>
      <c r="BJI14" s="137" t="s">
        <v>1831</v>
      </c>
      <c r="BJJ14" s="137" t="s">
        <v>1832</v>
      </c>
      <c r="BJK14" s="137" t="s">
        <v>1833</v>
      </c>
      <c r="BJL14" s="137" t="s">
        <v>1834</v>
      </c>
      <c r="BJM14" s="137" t="s">
        <v>1835</v>
      </c>
      <c r="BJN14" s="137" t="s">
        <v>1836</v>
      </c>
      <c r="BJO14" s="137" t="s">
        <v>1837</v>
      </c>
      <c r="BJP14" s="137" t="s">
        <v>1838</v>
      </c>
      <c r="BJQ14" s="137" t="s">
        <v>1839</v>
      </c>
      <c r="BJR14" s="137" t="s">
        <v>1840</v>
      </c>
      <c r="BJS14" s="137" t="s">
        <v>1841</v>
      </c>
      <c r="BJT14" s="137" t="s">
        <v>1842</v>
      </c>
      <c r="BJU14" s="137" t="s">
        <v>1843</v>
      </c>
      <c r="BJV14" s="137" t="s">
        <v>1844</v>
      </c>
      <c r="BJW14" s="137" t="s">
        <v>1845</v>
      </c>
      <c r="BJX14" s="137" t="s">
        <v>1846</v>
      </c>
      <c r="BJY14" s="137" t="s">
        <v>1847</v>
      </c>
      <c r="BJZ14" s="137" t="s">
        <v>1848</v>
      </c>
      <c r="BKA14" s="137" t="s">
        <v>1849</v>
      </c>
      <c r="BKB14" s="137" t="s">
        <v>1850</v>
      </c>
      <c r="BKC14" s="137" t="s">
        <v>1851</v>
      </c>
      <c r="BKD14" s="137" t="s">
        <v>1852</v>
      </c>
      <c r="BKE14" s="137" t="s">
        <v>1853</v>
      </c>
      <c r="BKF14" s="137" t="s">
        <v>1854</v>
      </c>
      <c r="BKG14" s="137" t="s">
        <v>1855</v>
      </c>
      <c r="BKH14" s="137" t="s">
        <v>1856</v>
      </c>
      <c r="BKI14" s="137" t="s">
        <v>1857</v>
      </c>
      <c r="BKJ14" s="137" t="s">
        <v>1858</v>
      </c>
      <c r="BKK14" s="137" t="s">
        <v>1859</v>
      </c>
      <c r="BKL14" s="137" t="s">
        <v>1860</v>
      </c>
      <c r="BKM14" s="137" t="s">
        <v>1861</v>
      </c>
      <c r="BKN14" s="137" t="s">
        <v>1862</v>
      </c>
      <c r="BKO14" s="137" t="s">
        <v>1863</v>
      </c>
      <c r="BKP14" s="137" t="s">
        <v>1864</v>
      </c>
      <c r="BKQ14" s="137" t="s">
        <v>1865</v>
      </c>
      <c r="BKR14" s="137" t="s">
        <v>1866</v>
      </c>
      <c r="BKS14" s="137" t="s">
        <v>1867</v>
      </c>
      <c r="BKT14" s="137" t="s">
        <v>1868</v>
      </c>
      <c r="BKU14" s="137" t="s">
        <v>1869</v>
      </c>
      <c r="BKV14" s="137" t="s">
        <v>1870</v>
      </c>
      <c r="BKW14" s="137" t="s">
        <v>1871</v>
      </c>
      <c r="BKX14" s="137" t="s">
        <v>1872</v>
      </c>
      <c r="BKY14" s="137" t="s">
        <v>1873</v>
      </c>
      <c r="BKZ14" s="137" t="s">
        <v>1874</v>
      </c>
      <c r="BLA14" s="137" t="s">
        <v>1875</v>
      </c>
      <c r="BLB14" s="137" t="s">
        <v>1876</v>
      </c>
      <c r="BLC14" s="137" t="s">
        <v>1877</v>
      </c>
      <c r="BLD14" s="137" t="s">
        <v>1878</v>
      </c>
      <c r="BLE14" s="137" t="s">
        <v>1879</v>
      </c>
      <c r="BLF14" s="137" t="s">
        <v>1880</v>
      </c>
      <c r="BLG14" s="137" t="s">
        <v>1881</v>
      </c>
      <c r="BLH14" s="137" t="s">
        <v>1882</v>
      </c>
      <c r="BLI14" s="137" t="s">
        <v>1883</v>
      </c>
      <c r="BLJ14" s="137" t="s">
        <v>1884</v>
      </c>
      <c r="BLK14" s="137" t="s">
        <v>1885</v>
      </c>
      <c r="BLL14" s="137" t="s">
        <v>1886</v>
      </c>
      <c r="BLM14" s="137" t="s">
        <v>1887</v>
      </c>
      <c r="BLN14" s="137" t="s">
        <v>1888</v>
      </c>
      <c r="BLO14" s="137" t="s">
        <v>1889</v>
      </c>
      <c r="BLP14" s="137" t="s">
        <v>1890</v>
      </c>
      <c r="BLQ14" s="137" t="s">
        <v>1891</v>
      </c>
      <c r="BLR14" s="137" t="s">
        <v>1892</v>
      </c>
      <c r="BLS14" s="137" t="s">
        <v>1893</v>
      </c>
      <c r="BLT14" s="137" t="s">
        <v>1894</v>
      </c>
      <c r="BLU14" s="137" t="s">
        <v>1895</v>
      </c>
      <c r="BLV14" s="137" t="s">
        <v>1896</v>
      </c>
      <c r="BLW14" s="137" t="s">
        <v>1897</v>
      </c>
      <c r="BLX14" s="137" t="s">
        <v>1898</v>
      </c>
      <c r="BLY14" s="137" t="s">
        <v>1899</v>
      </c>
      <c r="BLZ14" s="137" t="s">
        <v>1900</v>
      </c>
      <c r="BMA14" s="137" t="s">
        <v>1901</v>
      </c>
      <c r="BMB14" s="137" t="s">
        <v>1902</v>
      </c>
      <c r="BMC14" s="137" t="s">
        <v>1903</v>
      </c>
      <c r="BMD14" s="137" t="s">
        <v>1904</v>
      </c>
      <c r="BME14" s="137" t="s">
        <v>1905</v>
      </c>
      <c r="BMF14" s="137" t="s">
        <v>1906</v>
      </c>
      <c r="BMG14" s="137" t="s">
        <v>1907</v>
      </c>
      <c r="BMH14" s="137" t="s">
        <v>1908</v>
      </c>
      <c r="BMI14" s="137" t="s">
        <v>1909</v>
      </c>
      <c r="BMJ14" s="137" t="s">
        <v>1910</v>
      </c>
      <c r="BMK14" s="137" t="s">
        <v>1911</v>
      </c>
      <c r="BML14" s="137" t="s">
        <v>1912</v>
      </c>
      <c r="BMM14" s="137" t="s">
        <v>1913</v>
      </c>
      <c r="BMN14" s="137" t="s">
        <v>1914</v>
      </c>
      <c r="BMO14" s="137" t="s">
        <v>1915</v>
      </c>
      <c r="BMP14" s="137" t="s">
        <v>1916</v>
      </c>
      <c r="BMQ14" s="137" t="s">
        <v>1917</v>
      </c>
      <c r="BMR14" s="137" t="s">
        <v>1918</v>
      </c>
      <c r="BMS14" s="137" t="s">
        <v>1919</v>
      </c>
      <c r="BMT14" s="137" t="s">
        <v>1920</v>
      </c>
      <c r="BMU14" s="137" t="s">
        <v>1921</v>
      </c>
      <c r="BMV14" s="137" t="s">
        <v>1922</v>
      </c>
      <c r="BMW14" s="137" t="s">
        <v>1923</v>
      </c>
      <c r="BMX14" s="137" t="s">
        <v>1924</v>
      </c>
      <c r="BMY14" s="137" t="s">
        <v>1925</v>
      </c>
      <c r="BMZ14" s="137" t="s">
        <v>1926</v>
      </c>
      <c r="BNA14" s="137" t="s">
        <v>1927</v>
      </c>
      <c r="BNB14" s="137" t="s">
        <v>1928</v>
      </c>
      <c r="BNC14" s="137" t="s">
        <v>1929</v>
      </c>
      <c r="BND14" s="137" t="s">
        <v>1930</v>
      </c>
      <c r="BNE14" s="137" t="s">
        <v>1931</v>
      </c>
      <c r="BNF14" s="137" t="s">
        <v>1932</v>
      </c>
      <c r="BNG14" s="137" t="s">
        <v>1933</v>
      </c>
      <c r="BNH14" s="137" t="s">
        <v>1934</v>
      </c>
      <c r="BNI14" s="137" t="s">
        <v>1935</v>
      </c>
      <c r="BNJ14" s="137" t="s">
        <v>1936</v>
      </c>
      <c r="BNK14" s="137" t="s">
        <v>1937</v>
      </c>
      <c r="BNL14" s="137" t="s">
        <v>1938</v>
      </c>
      <c r="BNM14" s="137" t="s">
        <v>1939</v>
      </c>
      <c r="BNN14" s="137" t="s">
        <v>1940</v>
      </c>
      <c r="BNO14" s="137" t="s">
        <v>1941</v>
      </c>
      <c r="BNP14" s="137" t="s">
        <v>1942</v>
      </c>
      <c r="BNQ14" s="137" t="s">
        <v>1943</v>
      </c>
      <c r="BNR14" s="137" t="s">
        <v>1944</v>
      </c>
      <c r="BNS14" s="137" t="s">
        <v>1945</v>
      </c>
      <c r="BNT14" s="137" t="s">
        <v>1946</v>
      </c>
      <c r="BNU14" s="137" t="s">
        <v>1947</v>
      </c>
      <c r="BNV14" s="137" t="s">
        <v>1948</v>
      </c>
      <c r="BNW14" s="137" t="s">
        <v>1949</v>
      </c>
      <c r="BNX14" s="137" t="s">
        <v>1950</v>
      </c>
      <c r="BNY14" s="137" t="s">
        <v>1951</v>
      </c>
      <c r="BNZ14" s="137" t="s">
        <v>1952</v>
      </c>
      <c r="BOA14" s="137" t="s">
        <v>1953</v>
      </c>
      <c r="BOB14" s="137" t="s">
        <v>1954</v>
      </c>
      <c r="BOC14" s="137" t="s">
        <v>1955</v>
      </c>
      <c r="BOD14" s="137" t="s">
        <v>1956</v>
      </c>
      <c r="BOE14" s="137" t="s">
        <v>1957</v>
      </c>
      <c r="BOF14" s="137" t="s">
        <v>1958</v>
      </c>
      <c r="BOG14" s="137" t="s">
        <v>1959</v>
      </c>
      <c r="BOH14" s="137" t="s">
        <v>1960</v>
      </c>
      <c r="BOI14" s="137" t="s">
        <v>1961</v>
      </c>
      <c r="BOJ14" s="137" t="s">
        <v>1962</v>
      </c>
      <c r="BOK14" s="137" t="s">
        <v>1963</v>
      </c>
      <c r="BOL14" s="137" t="s">
        <v>1964</v>
      </c>
      <c r="BOM14" s="137" t="s">
        <v>1965</v>
      </c>
      <c r="BON14" s="137" t="s">
        <v>1966</v>
      </c>
      <c r="BOO14" s="137" t="s">
        <v>1967</v>
      </c>
      <c r="BOP14" s="137" t="s">
        <v>1968</v>
      </c>
      <c r="BOQ14" s="137" t="s">
        <v>1969</v>
      </c>
      <c r="BOR14" s="137" t="s">
        <v>1970</v>
      </c>
      <c r="BOS14" s="137" t="s">
        <v>1971</v>
      </c>
      <c r="BOT14" s="137" t="s">
        <v>1972</v>
      </c>
      <c r="BOU14" s="137" t="s">
        <v>1973</v>
      </c>
      <c r="BOV14" s="137" t="s">
        <v>1974</v>
      </c>
      <c r="BOW14" s="137" t="s">
        <v>1975</v>
      </c>
      <c r="BOX14" s="137" t="s">
        <v>1976</v>
      </c>
      <c r="BOY14" s="137" t="s">
        <v>1977</v>
      </c>
      <c r="BOZ14" s="137" t="s">
        <v>1978</v>
      </c>
      <c r="BPA14" s="137" t="s">
        <v>1979</v>
      </c>
      <c r="BPB14" s="137" t="s">
        <v>1980</v>
      </c>
      <c r="BPC14" s="137" t="s">
        <v>1981</v>
      </c>
      <c r="BPD14" s="137" t="s">
        <v>1982</v>
      </c>
      <c r="BPE14" s="137" t="s">
        <v>1983</v>
      </c>
      <c r="BPF14" s="137" t="s">
        <v>1984</v>
      </c>
      <c r="BPG14" s="137" t="s">
        <v>1985</v>
      </c>
      <c r="BPH14" s="137" t="s">
        <v>1986</v>
      </c>
      <c r="BPI14" s="137" t="s">
        <v>1987</v>
      </c>
      <c r="BPJ14" s="137" t="s">
        <v>1988</v>
      </c>
      <c r="BPK14" s="137" t="s">
        <v>1989</v>
      </c>
      <c r="BPL14" s="137" t="s">
        <v>1990</v>
      </c>
      <c r="BPM14" s="137" t="s">
        <v>1991</v>
      </c>
      <c r="BPN14" s="137" t="s">
        <v>1992</v>
      </c>
      <c r="BPO14" s="137" t="s">
        <v>1993</v>
      </c>
      <c r="BPP14" s="137" t="s">
        <v>1994</v>
      </c>
      <c r="BPQ14" s="137" t="s">
        <v>1995</v>
      </c>
      <c r="BPR14" s="137" t="s">
        <v>1996</v>
      </c>
      <c r="BPS14" s="137" t="s">
        <v>1997</v>
      </c>
      <c r="BPT14" s="137" t="s">
        <v>1998</v>
      </c>
      <c r="BPU14" s="137" t="s">
        <v>1999</v>
      </c>
      <c r="BPV14" s="137" t="s">
        <v>2000</v>
      </c>
      <c r="BPW14" s="137" t="s">
        <v>2001</v>
      </c>
      <c r="BPX14" s="137" t="s">
        <v>2002</v>
      </c>
      <c r="BPY14" s="137" t="s">
        <v>2003</v>
      </c>
      <c r="BPZ14" s="137" t="s">
        <v>2004</v>
      </c>
      <c r="BQA14" s="137" t="s">
        <v>2005</v>
      </c>
      <c r="BQB14" s="137" t="s">
        <v>2006</v>
      </c>
      <c r="BQC14" s="137" t="s">
        <v>2007</v>
      </c>
      <c r="BQD14" s="137" t="s">
        <v>2008</v>
      </c>
      <c r="BQE14" s="137" t="s">
        <v>2009</v>
      </c>
      <c r="BQF14" s="137" t="s">
        <v>2010</v>
      </c>
      <c r="BQG14" s="137" t="s">
        <v>2011</v>
      </c>
      <c r="BQH14" s="137" t="s">
        <v>2012</v>
      </c>
      <c r="BQI14" s="137" t="s">
        <v>2013</v>
      </c>
      <c r="BQJ14" s="137" t="s">
        <v>2014</v>
      </c>
      <c r="BQK14" s="137" t="s">
        <v>2015</v>
      </c>
      <c r="BQL14" s="137" t="s">
        <v>2016</v>
      </c>
      <c r="BQM14" s="137" t="s">
        <v>2017</v>
      </c>
      <c r="BQN14" s="137" t="s">
        <v>2018</v>
      </c>
      <c r="BQO14" s="137" t="s">
        <v>2019</v>
      </c>
      <c r="BQP14" s="137" t="s">
        <v>2020</v>
      </c>
      <c r="BQQ14" s="137" t="s">
        <v>2021</v>
      </c>
      <c r="BQR14" s="137" t="s">
        <v>2022</v>
      </c>
      <c r="BQS14" s="137" t="s">
        <v>2023</v>
      </c>
      <c r="BQT14" s="137" t="s">
        <v>2024</v>
      </c>
      <c r="BQU14" s="137" t="s">
        <v>2025</v>
      </c>
      <c r="BQV14" s="137" t="s">
        <v>2026</v>
      </c>
      <c r="BQW14" s="137" t="s">
        <v>2027</v>
      </c>
      <c r="BQX14" s="137" t="s">
        <v>2028</v>
      </c>
      <c r="BQY14" s="137" t="s">
        <v>2029</v>
      </c>
      <c r="BQZ14" s="137" t="s">
        <v>2030</v>
      </c>
      <c r="BRA14" s="137" t="s">
        <v>2031</v>
      </c>
      <c r="BRB14" s="137" t="s">
        <v>2032</v>
      </c>
      <c r="BRC14" s="137" t="s">
        <v>2033</v>
      </c>
      <c r="BRD14" s="137" t="s">
        <v>2034</v>
      </c>
      <c r="BRE14" s="137" t="s">
        <v>2035</v>
      </c>
      <c r="BRF14" s="137" t="s">
        <v>2036</v>
      </c>
      <c r="BRG14" s="137" t="s">
        <v>2037</v>
      </c>
      <c r="BRH14" s="137" t="s">
        <v>2038</v>
      </c>
      <c r="BRI14" s="137" t="s">
        <v>2039</v>
      </c>
      <c r="BRJ14" s="137" t="s">
        <v>2040</v>
      </c>
      <c r="BRK14" s="137" t="s">
        <v>2041</v>
      </c>
      <c r="BRL14" s="137" t="s">
        <v>2042</v>
      </c>
      <c r="BRM14" s="137" t="s">
        <v>2043</v>
      </c>
      <c r="BRN14" s="137" t="s">
        <v>2044</v>
      </c>
      <c r="BRO14" s="137" t="s">
        <v>2045</v>
      </c>
      <c r="BRP14" s="137" t="s">
        <v>2046</v>
      </c>
      <c r="BRQ14" s="137" t="s">
        <v>2047</v>
      </c>
      <c r="BRR14" s="137" t="s">
        <v>2048</v>
      </c>
      <c r="BRS14" s="137" t="s">
        <v>2049</v>
      </c>
      <c r="BRT14" s="137" t="s">
        <v>2050</v>
      </c>
      <c r="BRU14" s="137" t="s">
        <v>2051</v>
      </c>
      <c r="BRV14" s="137" t="s">
        <v>2052</v>
      </c>
      <c r="BRW14" s="137" t="s">
        <v>2053</v>
      </c>
      <c r="BRX14" s="137" t="s">
        <v>2054</v>
      </c>
      <c r="BRY14" s="137" t="s">
        <v>2055</v>
      </c>
      <c r="BRZ14" s="137" t="s">
        <v>2056</v>
      </c>
      <c r="BSA14" s="137" t="s">
        <v>2057</v>
      </c>
      <c r="BSB14" s="137" t="s">
        <v>2058</v>
      </c>
      <c r="BSC14" s="137" t="s">
        <v>2059</v>
      </c>
      <c r="BSD14" s="137" t="s">
        <v>2060</v>
      </c>
      <c r="BSE14" s="137" t="s">
        <v>2061</v>
      </c>
      <c r="BSF14" s="137" t="s">
        <v>2062</v>
      </c>
      <c r="BSG14" s="137" t="s">
        <v>2063</v>
      </c>
      <c r="BSH14" s="137" t="s">
        <v>2064</v>
      </c>
      <c r="BSI14" s="137" t="s">
        <v>2065</v>
      </c>
      <c r="BSJ14" s="137" t="s">
        <v>2066</v>
      </c>
      <c r="BSK14" s="137" t="s">
        <v>2067</v>
      </c>
      <c r="BSL14" s="137" t="s">
        <v>2068</v>
      </c>
      <c r="BSM14" s="137" t="s">
        <v>2069</v>
      </c>
      <c r="BSN14" s="137" t="s">
        <v>2070</v>
      </c>
      <c r="BSO14" s="137" t="s">
        <v>2071</v>
      </c>
      <c r="BSP14" s="137" t="s">
        <v>2072</v>
      </c>
      <c r="BSQ14" s="137" t="s">
        <v>2073</v>
      </c>
      <c r="BSR14" s="137" t="s">
        <v>2074</v>
      </c>
      <c r="BSS14" s="137" t="s">
        <v>2075</v>
      </c>
      <c r="BST14" s="137" t="s">
        <v>2076</v>
      </c>
      <c r="BSU14" s="137" t="s">
        <v>2077</v>
      </c>
      <c r="BSV14" s="137" t="s">
        <v>2078</v>
      </c>
      <c r="BSW14" s="137" t="s">
        <v>2079</v>
      </c>
      <c r="BSX14" s="137" t="s">
        <v>2080</v>
      </c>
      <c r="BSY14" s="137" t="s">
        <v>2081</v>
      </c>
      <c r="BSZ14" s="137" t="s">
        <v>2082</v>
      </c>
      <c r="BTA14" s="137" t="s">
        <v>2083</v>
      </c>
      <c r="BTB14" s="137" t="s">
        <v>2084</v>
      </c>
      <c r="BTC14" s="137" t="s">
        <v>2085</v>
      </c>
      <c r="BTD14" s="137" t="s">
        <v>2086</v>
      </c>
      <c r="BTE14" s="137" t="s">
        <v>2087</v>
      </c>
      <c r="BTF14" s="137" t="s">
        <v>2088</v>
      </c>
      <c r="BTG14" s="137" t="s">
        <v>2089</v>
      </c>
      <c r="BTH14" s="137" t="s">
        <v>2090</v>
      </c>
      <c r="BTI14" s="137" t="s">
        <v>2091</v>
      </c>
      <c r="BTJ14" s="137" t="s">
        <v>2092</v>
      </c>
      <c r="BTK14" s="137" t="s">
        <v>2093</v>
      </c>
      <c r="BTL14" s="137" t="s">
        <v>2094</v>
      </c>
      <c r="BTM14" s="137" t="s">
        <v>2095</v>
      </c>
      <c r="BTN14" s="137" t="s">
        <v>2096</v>
      </c>
      <c r="BTO14" s="137" t="s">
        <v>2097</v>
      </c>
      <c r="BTP14" s="137" t="s">
        <v>2098</v>
      </c>
      <c r="BTQ14" s="137" t="s">
        <v>2099</v>
      </c>
      <c r="BTR14" s="137" t="s">
        <v>2100</v>
      </c>
      <c r="BTS14" s="137" t="s">
        <v>2101</v>
      </c>
      <c r="BTT14" s="137" t="s">
        <v>2102</v>
      </c>
      <c r="BTU14" s="137" t="s">
        <v>2103</v>
      </c>
      <c r="BTV14" s="137" t="s">
        <v>2104</v>
      </c>
      <c r="BTW14" s="137" t="s">
        <v>2105</v>
      </c>
      <c r="BTX14" s="137" t="s">
        <v>2106</v>
      </c>
      <c r="BTY14" s="137" t="s">
        <v>2107</v>
      </c>
      <c r="BTZ14" s="137" t="s">
        <v>2108</v>
      </c>
      <c r="BUA14" s="137" t="s">
        <v>2109</v>
      </c>
      <c r="BUB14" s="137" t="s">
        <v>2110</v>
      </c>
      <c r="BUC14" s="137" t="s">
        <v>2111</v>
      </c>
      <c r="BUD14" s="137" t="s">
        <v>2112</v>
      </c>
      <c r="BUE14" s="137" t="s">
        <v>2113</v>
      </c>
      <c r="BUF14" s="137" t="s">
        <v>2114</v>
      </c>
      <c r="BUG14" s="137" t="s">
        <v>2115</v>
      </c>
      <c r="BUH14" s="137" t="s">
        <v>2116</v>
      </c>
      <c r="BUI14" s="137" t="s">
        <v>2117</v>
      </c>
      <c r="BUJ14" s="137" t="s">
        <v>2118</v>
      </c>
      <c r="BUK14" s="137" t="s">
        <v>2119</v>
      </c>
      <c r="BUL14" s="137" t="s">
        <v>2120</v>
      </c>
      <c r="BUM14" s="137" t="s">
        <v>2121</v>
      </c>
      <c r="BUN14" s="137" t="s">
        <v>2122</v>
      </c>
      <c r="BUO14" s="137" t="s">
        <v>2123</v>
      </c>
      <c r="BUP14" s="137" t="s">
        <v>2124</v>
      </c>
      <c r="BUQ14" s="137" t="s">
        <v>2125</v>
      </c>
      <c r="BUR14" s="137" t="s">
        <v>2126</v>
      </c>
      <c r="BUS14" s="137" t="s">
        <v>2127</v>
      </c>
      <c r="BUT14" s="137" t="s">
        <v>2128</v>
      </c>
      <c r="BUU14" s="137" t="s">
        <v>2129</v>
      </c>
      <c r="BUV14" s="137" t="s">
        <v>2130</v>
      </c>
      <c r="BUW14" s="137" t="s">
        <v>2131</v>
      </c>
      <c r="BUX14" s="137" t="s">
        <v>2132</v>
      </c>
      <c r="BUY14" s="137" t="s">
        <v>2133</v>
      </c>
      <c r="BUZ14" s="137" t="s">
        <v>2134</v>
      </c>
      <c r="BVA14" s="137" t="s">
        <v>2135</v>
      </c>
      <c r="BVB14" s="137" t="s">
        <v>2136</v>
      </c>
      <c r="BVC14" s="137" t="s">
        <v>2137</v>
      </c>
      <c r="BVD14" s="137" t="s">
        <v>2138</v>
      </c>
      <c r="BVE14" s="137" t="s">
        <v>2139</v>
      </c>
      <c r="BVF14" s="137" t="s">
        <v>2140</v>
      </c>
      <c r="BVG14" s="137" t="s">
        <v>2141</v>
      </c>
      <c r="BVH14" s="137" t="s">
        <v>2142</v>
      </c>
      <c r="BVI14" s="137" t="s">
        <v>2143</v>
      </c>
      <c r="BVJ14" s="137" t="s">
        <v>2144</v>
      </c>
      <c r="BVK14" s="137" t="s">
        <v>2145</v>
      </c>
      <c r="BVL14" s="137" t="s">
        <v>2146</v>
      </c>
      <c r="BVM14" s="137" t="s">
        <v>2147</v>
      </c>
      <c r="BVN14" s="137" t="s">
        <v>2148</v>
      </c>
      <c r="BVO14" s="137" t="s">
        <v>2149</v>
      </c>
      <c r="BVP14" s="137" t="s">
        <v>2150</v>
      </c>
      <c r="BVQ14" s="137" t="s">
        <v>2151</v>
      </c>
      <c r="BVR14" s="137" t="s">
        <v>2152</v>
      </c>
      <c r="BVS14" s="137" t="s">
        <v>2153</v>
      </c>
      <c r="BVT14" s="137" t="s">
        <v>2154</v>
      </c>
      <c r="BVU14" s="137" t="s">
        <v>2155</v>
      </c>
      <c r="BVV14" s="137" t="s">
        <v>2156</v>
      </c>
      <c r="BVW14" s="137" t="s">
        <v>2157</v>
      </c>
      <c r="BVX14" s="137" t="s">
        <v>2158</v>
      </c>
      <c r="BVY14" s="137" t="s">
        <v>2159</v>
      </c>
      <c r="BVZ14" s="137" t="s">
        <v>2160</v>
      </c>
      <c r="BWA14" s="137" t="s">
        <v>2161</v>
      </c>
      <c r="BWB14" s="137" t="s">
        <v>2162</v>
      </c>
      <c r="BWC14" s="137" t="s">
        <v>2163</v>
      </c>
      <c r="BWD14" s="137" t="s">
        <v>2164</v>
      </c>
      <c r="BWE14" s="137" t="s">
        <v>2165</v>
      </c>
      <c r="BWF14" s="137" t="s">
        <v>2166</v>
      </c>
      <c r="BWG14" s="137" t="s">
        <v>2167</v>
      </c>
      <c r="BWH14" s="137" t="s">
        <v>2168</v>
      </c>
      <c r="BWI14" s="137" t="s">
        <v>2169</v>
      </c>
      <c r="BWJ14" s="137" t="s">
        <v>2170</v>
      </c>
      <c r="BWK14" s="137" t="s">
        <v>2171</v>
      </c>
      <c r="BWL14" s="137" t="s">
        <v>2172</v>
      </c>
      <c r="BWM14" s="137" t="s">
        <v>2173</v>
      </c>
      <c r="BWN14" s="137" t="s">
        <v>2174</v>
      </c>
      <c r="BWO14" s="137" t="s">
        <v>2175</v>
      </c>
      <c r="BWP14" s="137" t="s">
        <v>2176</v>
      </c>
      <c r="BWQ14" s="137" t="s">
        <v>2177</v>
      </c>
      <c r="BWR14" s="137" t="s">
        <v>2178</v>
      </c>
      <c r="BWS14" s="137" t="s">
        <v>2179</v>
      </c>
      <c r="BWT14" s="137" t="s">
        <v>2180</v>
      </c>
      <c r="BWU14" s="137" t="s">
        <v>2181</v>
      </c>
      <c r="BWV14" s="137" t="s">
        <v>2182</v>
      </c>
      <c r="BWW14" s="137" t="s">
        <v>2183</v>
      </c>
      <c r="BWX14" s="137" t="s">
        <v>2184</v>
      </c>
      <c r="BWY14" s="137" t="s">
        <v>2185</v>
      </c>
      <c r="BWZ14" s="137" t="s">
        <v>2186</v>
      </c>
      <c r="BXA14" s="137" t="s">
        <v>2187</v>
      </c>
      <c r="BXB14" s="137" t="s">
        <v>2188</v>
      </c>
      <c r="BXC14" s="137" t="s">
        <v>2189</v>
      </c>
      <c r="BXD14" s="137" t="s">
        <v>2190</v>
      </c>
      <c r="BXE14" s="137" t="s">
        <v>2191</v>
      </c>
      <c r="BXF14" s="137" t="s">
        <v>2192</v>
      </c>
      <c r="BXG14" s="137" t="s">
        <v>2193</v>
      </c>
      <c r="BXH14" s="137" t="s">
        <v>2194</v>
      </c>
      <c r="BXI14" s="137" t="s">
        <v>2195</v>
      </c>
      <c r="BXJ14" s="137" t="s">
        <v>2196</v>
      </c>
      <c r="BXK14" s="137" t="s">
        <v>2197</v>
      </c>
      <c r="BXL14" s="137" t="s">
        <v>2198</v>
      </c>
      <c r="BXM14" s="137" t="s">
        <v>2199</v>
      </c>
      <c r="BXN14" s="137" t="s">
        <v>2200</v>
      </c>
      <c r="BXO14" s="137" t="s">
        <v>2201</v>
      </c>
      <c r="BXP14" s="137" t="s">
        <v>2202</v>
      </c>
      <c r="BXQ14" s="137" t="s">
        <v>2203</v>
      </c>
      <c r="BXR14" s="137" t="s">
        <v>2204</v>
      </c>
      <c r="BXS14" s="137" t="s">
        <v>2205</v>
      </c>
      <c r="BXT14" s="137" t="s">
        <v>2206</v>
      </c>
      <c r="BXU14" s="137" t="s">
        <v>2207</v>
      </c>
      <c r="BXV14" s="137" t="s">
        <v>2208</v>
      </c>
      <c r="BXW14" s="137" t="s">
        <v>2209</v>
      </c>
      <c r="BXX14" s="137" t="s">
        <v>2210</v>
      </c>
      <c r="BXY14" s="137" t="s">
        <v>2211</v>
      </c>
      <c r="BXZ14" s="137" t="s">
        <v>2212</v>
      </c>
      <c r="BYA14" s="137" t="s">
        <v>2213</v>
      </c>
      <c r="BYB14" s="137" t="s">
        <v>2214</v>
      </c>
      <c r="BYC14" s="137" t="s">
        <v>2215</v>
      </c>
      <c r="BYD14" s="137" t="s">
        <v>2216</v>
      </c>
      <c r="BYE14" s="137" t="s">
        <v>2217</v>
      </c>
      <c r="BYF14" s="137" t="s">
        <v>2218</v>
      </c>
      <c r="BYG14" s="137" t="s">
        <v>2219</v>
      </c>
      <c r="BYH14" s="137" t="s">
        <v>2220</v>
      </c>
      <c r="BYI14" s="137" t="s">
        <v>2221</v>
      </c>
      <c r="BYJ14" s="137" t="s">
        <v>2222</v>
      </c>
      <c r="BYK14" s="137" t="s">
        <v>2223</v>
      </c>
      <c r="BYL14" s="137" t="s">
        <v>2224</v>
      </c>
      <c r="BYM14" s="137" t="s">
        <v>2225</v>
      </c>
      <c r="BYN14" s="137" t="s">
        <v>2226</v>
      </c>
      <c r="BYO14" s="137" t="s">
        <v>2227</v>
      </c>
      <c r="BYP14" s="137" t="s">
        <v>2228</v>
      </c>
      <c r="BYQ14" s="137" t="s">
        <v>2229</v>
      </c>
      <c r="BYR14" s="137" t="s">
        <v>2230</v>
      </c>
      <c r="BYS14" s="137" t="s">
        <v>2231</v>
      </c>
      <c r="BYT14" s="137" t="s">
        <v>2232</v>
      </c>
      <c r="BYU14" s="137" t="s">
        <v>2233</v>
      </c>
      <c r="BYV14" s="137" t="s">
        <v>2234</v>
      </c>
      <c r="BYW14" s="137" t="s">
        <v>2235</v>
      </c>
      <c r="BYX14" s="137" t="s">
        <v>2236</v>
      </c>
      <c r="BYY14" s="137" t="s">
        <v>2237</v>
      </c>
      <c r="BYZ14" s="137" t="s">
        <v>2238</v>
      </c>
      <c r="BZA14" s="137" t="s">
        <v>2239</v>
      </c>
      <c r="BZB14" s="137" t="s">
        <v>2240</v>
      </c>
      <c r="BZC14" s="137" t="s">
        <v>2241</v>
      </c>
      <c r="BZD14" s="137" t="s">
        <v>2242</v>
      </c>
      <c r="BZE14" s="137" t="s">
        <v>2243</v>
      </c>
      <c r="BZF14" s="137" t="s">
        <v>2244</v>
      </c>
      <c r="BZG14" s="137" t="s">
        <v>2245</v>
      </c>
      <c r="BZH14" s="137" t="s">
        <v>2246</v>
      </c>
      <c r="BZI14" s="137" t="s">
        <v>2247</v>
      </c>
      <c r="BZJ14" s="137" t="s">
        <v>2248</v>
      </c>
      <c r="BZK14" s="137" t="s">
        <v>2249</v>
      </c>
      <c r="BZL14" s="137" t="s">
        <v>2250</v>
      </c>
      <c r="BZM14" s="137" t="s">
        <v>2251</v>
      </c>
      <c r="BZN14" s="137" t="s">
        <v>2252</v>
      </c>
      <c r="BZO14" s="137" t="s">
        <v>2253</v>
      </c>
      <c r="BZP14" s="137" t="s">
        <v>2254</v>
      </c>
      <c r="BZQ14" s="137" t="s">
        <v>2255</v>
      </c>
      <c r="BZR14" s="137" t="s">
        <v>2256</v>
      </c>
      <c r="BZS14" s="137" t="s">
        <v>2257</v>
      </c>
      <c r="BZT14" s="137" t="s">
        <v>2258</v>
      </c>
      <c r="BZU14" s="137" t="s">
        <v>2259</v>
      </c>
      <c r="BZV14" s="137" t="s">
        <v>2260</v>
      </c>
      <c r="BZW14" s="137" t="s">
        <v>2261</v>
      </c>
      <c r="BZX14" s="137" t="s">
        <v>2262</v>
      </c>
      <c r="BZY14" s="137" t="s">
        <v>2263</v>
      </c>
      <c r="BZZ14" s="137" t="s">
        <v>2264</v>
      </c>
      <c r="CAA14" s="137" t="s">
        <v>2265</v>
      </c>
      <c r="CAB14" s="137" t="s">
        <v>2266</v>
      </c>
      <c r="CAC14" s="137" t="s">
        <v>2267</v>
      </c>
      <c r="CAD14" s="137" t="s">
        <v>2268</v>
      </c>
      <c r="CAE14" s="137" t="s">
        <v>2269</v>
      </c>
      <c r="CAF14" s="137" t="s">
        <v>2270</v>
      </c>
      <c r="CAG14" s="137" t="s">
        <v>2271</v>
      </c>
      <c r="CAH14" s="137" t="s">
        <v>2272</v>
      </c>
      <c r="CAI14" s="137" t="s">
        <v>2273</v>
      </c>
      <c r="CAJ14" s="137" t="s">
        <v>2274</v>
      </c>
      <c r="CAK14" s="137" t="s">
        <v>2275</v>
      </c>
      <c r="CAL14" s="137" t="s">
        <v>2276</v>
      </c>
      <c r="CAM14" s="137" t="s">
        <v>2277</v>
      </c>
      <c r="CAN14" s="137" t="s">
        <v>2278</v>
      </c>
      <c r="CAO14" s="137" t="s">
        <v>2279</v>
      </c>
      <c r="CAP14" s="137" t="s">
        <v>2280</v>
      </c>
      <c r="CAQ14" s="137" t="s">
        <v>2281</v>
      </c>
      <c r="CAR14" s="137" t="s">
        <v>2282</v>
      </c>
      <c r="CAS14" s="137" t="s">
        <v>2283</v>
      </c>
      <c r="CAT14" s="137" t="s">
        <v>2284</v>
      </c>
      <c r="CAU14" s="137" t="s">
        <v>2285</v>
      </c>
      <c r="CAV14" s="137" t="s">
        <v>2286</v>
      </c>
      <c r="CAW14" s="137" t="s">
        <v>2287</v>
      </c>
      <c r="CAX14" s="137" t="s">
        <v>2288</v>
      </c>
      <c r="CAY14" s="137" t="s">
        <v>2289</v>
      </c>
      <c r="CAZ14" s="137" t="s">
        <v>2290</v>
      </c>
      <c r="CBA14" s="137" t="s">
        <v>2291</v>
      </c>
      <c r="CBB14" s="137" t="s">
        <v>2292</v>
      </c>
      <c r="CBC14" s="137" t="s">
        <v>2293</v>
      </c>
      <c r="CBD14" s="137" t="s">
        <v>2294</v>
      </c>
      <c r="CBE14" s="137" t="s">
        <v>2295</v>
      </c>
      <c r="CBF14" s="137" t="s">
        <v>2296</v>
      </c>
      <c r="CBG14" s="137" t="s">
        <v>2297</v>
      </c>
      <c r="CBH14" s="137" t="s">
        <v>2298</v>
      </c>
      <c r="CBI14" s="137" t="s">
        <v>2299</v>
      </c>
      <c r="CBJ14" s="137" t="s">
        <v>2300</v>
      </c>
      <c r="CBK14" s="137" t="s">
        <v>2301</v>
      </c>
      <c r="CBL14" s="137" t="s">
        <v>2302</v>
      </c>
      <c r="CBM14" s="137" t="s">
        <v>2303</v>
      </c>
      <c r="CBN14" s="137" t="s">
        <v>2304</v>
      </c>
      <c r="CBO14" s="137" t="s">
        <v>2305</v>
      </c>
      <c r="CBP14" s="137" t="s">
        <v>2306</v>
      </c>
      <c r="CBQ14" s="137" t="s">
        <v>2307</v>
      </c>
      <c r="CBR14" s="137" t="s">
        <v>2308</v>
      </c>
      <c r="CBS14" s="137" t="s">
        <v>2309</v>
      </c>
      <c r="CBT14" s="137" t="s">
        <v>2310</v>
      </c>
      <c r="CBU14" s="137" t="s">
        <v>2311</v>
      </c>
      <c r="CBV14" s="137" t="s">
        <v>2312</v>
      </c>
      <c r="CBW14" s="137" t="s">
        <v>2313</v>
      </c>
      <c r="CBX14" s="137" t="s">
        <v>2314</v>
      </c>
      <c r="CBY14" s="137" t="s">
        <v>2315</v>
      </c>
      <c r="CBZ14" s="137" t="s">
        <v>2316</v>
      </c>
      <c r="CCA14" s="137" t="s">
        <v>2317</v>
      </c>
      <c r="CCB14" s="137" t="s">
        <v>2318</v>
      </c>
      <c r="CCC14" s="137" t="s">
        <v>2319</v>
      </c>
      <c r="CCD14" s="137" t="s">
        <v>2320</v>
      </c>
      <c r="CCE14" s="137" t="s">
        <v>2321</v>
      </c>
      <c r="CCF14" s="137" t="s">
        <v>2322</v>
      </c>
      <c r="CCG14" s="137" t="s">
        <v>2323</v>
      </c>
      <c r="CCH14" s="137" t="s">
        <v>2324</v>
      </c>
      <c r="CCI14" s="137" t="s">
        <v>2325</v>
      </c>
      <c r="CCJ14" s="137" t="s">
        <v>2326</v>
      </c>
      <c r="CCK14" s="137" t="s">
        <v>2327</v>
      </c>
      <c r="CCL14" s="137" t="s">
        <v>2328</v>
      </c>
      <c r="CCM14" s="137" t="s">
        <v>2329</v>
      </c>
      <c r="CCN14" s="137" t="s">
        <v>2330</v>
      </c>
      <c r="CCO14" s="137" t="s">
        <v>2331</v>
      </c>
      <c r="CCP14" s="137" t="s">
        <v>2332</v>
      </c>
      <c r="CCQ14" s="137" t="s">
        <v>2333</v>
      </c>
      <c r="CCR14" s="137" t="s">
        <v>2334</v>
      </c>
      <c r="CCS14" s="137" t="s">
        <v>2335</v>
      </c>
      <c r="CCT14" s="137" t="s">
        <v>2336</v>
      </c>
      <c r="CCU14" s="137" t="s">
        <v>2337</v>
      </c>
      <c r="CCV14" s="137" t="s">
        <v>2338</v>
      </c>
      <c r="CCW14" s="137" t="s">
        <v>2339</v>
      </c>
      <c r="CCX14" s="137" t="s">
        <v>2340</v>
      </c>
      <c r="CCY14" s="137" t="s">
        <v>2341</v>
      </c>
      <c r="CCZ14" s="137" t="s">
        <v>2342</v>
      </c>
      <c r="CDA14" s="137" t="s">
        <v>2343</v>
      </c>
      <c r="CDB14" s="137" t="s">
        <v>2344</v>
      </c>
      <c r="CDC14" s="137" t="s">
        <v>2345</v>
      </c>
      <c r="CDD14" s="137" t="s">
        <v>2346</v>
      </c>
      <c r="CDE14" s="137" t="s">
        <v>2347</v>
      </c>
      <c r="CDF14" s="137" t="s">
        <v>2348</v>
      </c>
      <c r="CDG14" s="137" t="s">
        <v>2349</v>
      </c>
      <c r="CDH14" s="137" t="s">
        <v>2350</v>
      </c>
      <c r="CDI14" s="137" t="s">
        <v>2351</v>
      </c>
      <c r="CDJ14" s="137" t="s">
        <v>2352</v>
      </c>
      <c r="CDK14" s="137" t="s">
        <v>2353</v>
      </c>
      <c r="CDL14" s="137" t="s">
        <v>2354</v>
      </c>
      <c r="CDM14" s="137" t="s">
        <v>2355</v>
      </c>
      <c r="CDN14" s="137" t="s">
        <v>2356</v>
      </c>
      <c r="CDO14" s="137" t="s">
        <v>2357</v>
      </c>
      <c r="CDP14" s="137" t="s">
        <v>2358</v>
      </c>
      <c r="CDQ14" s="137" t="s">
        <v>2359</v>
      </c>
      <c r="CDR14" s="137" t="s">
        <v>2360</v>
      </c>
      <c r="CDS14" s="137" t="s">
        <v>2361</v>
      </c>
      <c r="CDT14" s="137" t="s">
        <v>2362</v>
      </c>
      <c r="CDU14" s="137" t="s">
        <v>2363</v>
      </c>
      <c r="CDV14" s="137" t="s">
        <v>2364</v>
      </c>
      <c r="CDW14" s="137" t="s">
        <v>2365</v>
      </c>
      <c r="CDX14" s="137" t="s">
        <v>2366</v>
      </c>
      <c r="CDY14" s="137" t="s">
        <v>2367</v>
      </c>
      <c r="CDZ14" s="137" t="s">
        <v>2368</v>
      </c>
      <c r="CEA14" s="137" t="s">
        <v>2369</v>
      </c>
      <c r="CEB14" s="137" t="s">
        <v>2370</v>
      </c>
      <c r="CEC14" s="137" t="s">
        <v>2371</v>
      </c>
      <c r="CED14" s="137" t="s">
        <v>2372</v>
      </c>
      <c r="CEE14" s="137" t="s">
        <v>2373</v>
      </c>
      <c r="CEF14" s="137" t="s">
        <v>2374</v>
      </c>
      <c r="CEG14" s="137" t="s">
        <v>2375</v>
      </c>
      <c r="CEH14" s="137" t="s">
        <v>2376</v>
      </c>
      <c r="CEI14" s="137" t="s">
        <v>2377</v>
      </c>
      <c r="CEJ14" s="137" t="s">
        <v>2378</v>
      </c>
      <c r="CEK14" s="137" t="s">
        <v>2379</v>
      </c>
      <c r="CEL14" s="137" t="s">
        <v>2380</v>
      </c>
      <c r="CEM14" s="137" t="s">
        <v>2381</v>
      </c>
      <c r="CEN14" s="137" t="s">
        <v>2382</v>
      </c>
      <c r="CEO14" s="137" t="s">
        <v>2383</v>
      </c>
      <c r="CEP14" s="137" t="s">
        <v>2384</v>
      </c>
      <c r="CEQ14" s="137" t="s">
        <v>2385</v>
      </c>
      <c r="CER14" s="137" t="s">
        <v>2386</v>
      </c>
      <c r="CES14" s="137" t="s">
        <v>2387</v>
      </c>
      <c r="CET14" s="137" t="s">
        <v>2388</v>
      </c>
      <c r="CEU14" s="137" t="s">
        <v>2389</v>
      </c>
      <c r="CEV14" s="137" t="s">
        <v>2390</v>
      </c>
      <c r="CEW14" s="137" t="s">
        <v>2391</v>
      </c>
      <c r="CEX14" s="137" t="s">
        <v>2392</v>
      </c>
      <c r="CEY14" s="137" t="s">
        <v>2393</v>
      </c>
      <c r="CEZ14" s="137" t="s">
        <v>2394</v>
      </c>
      <c r="CFA14" s="137" t="s">
        <v>2395</v>
      </c>
      <c r="CFB14" s="137" t="s">
        <v>2396</v>
      </c>
      <c r="CFC14" s="137" t="s">
        <v>2397</v>
      </c>
      <c r="CFD14" s="137" t="s">
        <v>2398</v>
      </c>
      <c r="CFE14" s="137" t="s">
        <v>2399</v>
      </c>
      <c r="CFF14" s="137" t="s">
        <v>2400</v>
      </c>
      <c r="CFG14" s="137" t="s">
        <v>2401</v>
      </c>
      <c r="CFH14" s="137" t="s">
        <v>2402</v>
      </c>
      <c r="CFI14" s="137" t="s">
        <v>2403</v>
      </c>
      <c r="CFJ14" s="137" t="s">
        <v>2404</v>
      </c>
      <c r="CFK14" s="137" t="s">
        <v>2405</v>
      </c>
      <c r="CFL14" s="137" t="s">
        <v>2406</v>
      </c>
      <c r="CFM14" s="137" t="s">
        <v>2407</v>
      </c>
      <c r="CFN14" s="137" t="s">
        <v>2408</v>
      </c>
      <c r="CFO14" s="137" t="s">
        <v>2409</v>
      </c>
      <c r="CFP14" s="137" t="s">
        <v>2410</v>
      </c>
      <c r="CFQ14" s="137" t="s">
        <v>2411</v>
      </c>
      <c r="CFR14" s="137" t="s">
        <v>2412</v>
      </c>
      <c r="CFS14" s="137" t="s">
        <v>2413</v>
      </c>
      <c r="CFT14" s="137" t="s">
        <v>2414</v>
      </c>
      <c r="CFU14" s="137" t="s">
        <v>2415</v>
      </c>
      <c r="CFV14" s="137" t="s">
        <v>2416</v>
      </c>
      <c r="CFW14" s="137" t="s">
        <v>2417</v>
      </c>
      <c r="CFX14" s="137" t="s">
        <v>2418</v>
      </c>
      <c r="CFY14" s="137" t="s">
        <v>2419</v>
      </c>
      <c r="CFZ14" s="137" t="s">
        <v>2420</v>
      </c>
      <c r="CGA14" s="137" t="s">
        <v>2421</v>
      </c>
      <c r="CGB14" s="137" t="s">
        <v>2422</v>
      </c>
      <c r="CGC14" s="137" t="s">
        <v>2423</v>
      </c>
      <c r="CGD14" s="137" t="s">
        <v>2424</v>
      </c>
      <c r="CGE14" s="137" t="s">
        <v>2425</v>
      </c>
      <c r="CGF14" s="137" t="s">
        <v>2426</v>
      </c>
      <c r="CGG14" s="137" t="s">
        <v>2427</v>
      </c>
      <c r="CGH14" s="137" t="s">
        <v>2428</v>
      </c>
      <c r="CGI14" s="137" t="s">
        <v>2429</v>
      </c>
      <c r="CGJ14" s="137" t="s">
        <v>2430</v>
      </c>
      <c r="CGK14" s="137" t="s">
        <v>2431</v>
      </c>
      <c r="CGL14" s="137" t="s">
        <v>2432</v>
      </c>
      <c r="CGM14" s="137" t="s">
        <v>2433</v>
      </c>
      <c r="CGN14" s="137" t="s">
        <v>2434</v>
      </c>
      <c r="CGO14" s="137" t="s">
        <v>2435</v>
      </c>
      <c r="CGP14" s="137" t="s">
        <v>2436</v>
      </c>
      <c r="CGQ14" s="137" t="s">
        <v>2437</v>
      </c>
      <c r="CGR14" s="137" t="s">
        <v>2438</v>
      </c>
      <c r="CGS14" s="137" t="s">
        <v>2439</v>
      </c>
      <c r="CGT14" s="137" t="s">
        <v>2440</v>
      </c>
      <c r="CGU14" s="137" t="s">
        <v>2441</v>
      </c>
      <c r="CGV14" s="137" t="s">
        <v>2442</v>
      </c>
      <c r="CGW14" s="137" t="s">
        <v>2443</v>
      </c>
      <c r="CGX14" s="137" t="s">
        <v>2444</v>
      </c>
      <c r="CGY14" s="137" t="s">
        <v>2445</v>
      </c>
      <c r="CGZ14" s="137" t="s">
        <v>2446</v>
      </c>
      <c r="CHA14" s="137" t="s">
        <v>2447</v>
      </c>
      <c r="CHB14" s="137" t="s">
        <v>2448</v>
      </c>
      <c r="CHC14" s="137" t="s">
        <v>2449</v>
      </c>
      <c r="CHD14" s="137" t="s">
        <v>2450</v>
      </c>
      <c r="CHE14" s="137" t="s">
        <v>2451</v>
      </c>
      <c r="CHF14" s="137" t="s">
        <v>2452</v>
      </c>
      <c r="CHG14" s="137" t="s">
        <v>2453</v>
      </c>
      <c r="CHH14" s="137" t="s">
        <v>2454</v>
      </c>
      <c r="CHI14" s="137" t="s">
        <v>2455</v>
      </c>
      <c r="CHJ14" s="137" t="s">
        <v>2456</v>
      </c>
      <c r="CHK14" s="137" t="s">
        <v>2457</v>
      </c>
      <c r="CHL14" s="137" t="s">
        <v>2458</v>
      </c>
      <c r="CHM14" s="137" t="s">
        <v>2459</v>
      </c>
      <c r="CHN14" s="137" t="s">
        <v>2460</v>
      </c>
      <c r="CHO14" s="137" t="s">
        <v>2461</v>
      </c>
      <c r="CHP14" s="137" t="s">
        <v>2462</v>
      </c>
      <c r="CHQ14" s="137" t="s">
        <v>2463</v>
      </c>
      <c r="CHR14" s="137" t="s">
        <v>2464</v>
      </c>
      <c r="CHS14" s="137" t="s">
        <v>2465</v>
      </c>
      <c r="CHT14" s="137" t="s">
        <v>2466</v>
      </c>
      <c r="CHU14" s="137" t="s">
        <v>2467</v>
      </c>
      <c r="CHV14" s="137" t="s">
        <v>2468</v>
      </c>
      <c r="CHW14" s="137" t="s">
        <v>2469</v>
      </c>
      <c r="CHX14" s="137" t="s">
        <v>2470</v>
      </c>
      <c r="CHY14" s="137" t="s">
        <v>2471</v>
      </c>
      <c r="CHZ14" s="137" t="s">
        <v>2472</v>
      </c>
      <c r="CIA14" s="137" t="s">
        <v>2473</v>
      </c>
      <c r="CIB14" s="137" t="s">
        <v>2474</v>
      </c>
      <c r="CIC14" s="137" t="s">
        <v>2475</v>
      </c>
      <c r="CID14" s="137" t="s">
        <v>2476</v>
      </c>
      <c r="CIE14" s="137" t="s">
        <v>2477</v>
      </c>
      <c r="CIF14" s="137" t="s">
        <v>2478</v>
      </c>
      <c r="CIG14" s="137" t="s">
        <v>2479</v>
      </c>
      <c r="CIH14" s="137" t="s">
        <v>2480</v>
      </c>
      <c r="CII14" s="137" t="s">
        <v>2481</v>
      </c>
      <c r="CIJ14" s="137" t="s">
        <v>2482</v>
      </c>
      <c r="CIK14" s="137" t="s">
        <v>2483</v>
      </c>
      <c r="CIL14" s="137" t="s">
        <v>2484</v>
      </c>
      <c r="CIM14" s="137" t="s">
        <v>2485</v>
      </c>
      <c r="CIN14" s="137" t="s">
        <v>2486</v>
      </c>
      <c r="CIO14" s="137" t="s">
        <v>2487</v>
      </c>
      <c r="CIP14" s="137" t="s">
        <v>2488</v>
      </c>
      <c r="CIQ14" s="137" t="s">
        <v>2489</v>
      </c>
      <c r="CIR14" s="137" t="s">
        <v>2490</v>
      </c>
      <c r="CIS14" s="137" t="s">
        <v>2491</v>
      </c>
      <c r="CIT14" s="137" t="s">
        <v>2492</v>
      </c>
      <c r="CIU14" s="137" t="s">
        <v>2493</v>
      </c>
      <c r="CIV14" s="137" t="s">
        <v>2494</v>
      </c>
      <c r="CIW14" s="137" t="s">
        <v>2495</v>
      </c>
      <c r="CIX14" s="137" t="s">
        <v>2496</v>
      </c>
      <c r="CIY14" s="137" t="s">
        <v>2497</v>
      </c>
      <c r="CIZ14" s="137" t="s">
        <v>2498</v>
      </c>
      <c r="CJA14" s="137" t="s">
        <v>2499</v>
      </c>
      <c r="CJB14" s="137" t="s">
        <v>2500</v>
      </c>
      <c r="CJC14" s="137" t="s">
        <v>2501</v>
      </c>
      <c r="CJD14" s="137" t="s">
        <v>2502</v>
      </c>
      <c r="CJE14" s="137" t="s">
        <v>2503</v>
      </c>
      <c r="CJF14" s="137" t="s">
        <v>2504</v>
      </c>
      <c r="CJG14" s="137" t="s">
        <v>2505</v>
      </c>
      <c r="CJH14" s="137" t="s">
        <v>2506</v>
      </c>
      <c r="CJI14" s="137" t="s">
        <v>2507</v>
      </c>
      <c r="CJJ14" s="137" t="s">
        <v>2508</v>
      </c>
      <c r="CJK14" s="137" t="s">
        <v>2509</v>
      </c>
      <c r="CJL14" s="137" t="s">
        <v>2510</v>
      </c>
      <c r="CJM14" s="137" t="s">
        <v>2511</v>
      </c>
      <c r="CJN14" s="137" t="s">
        <v>2512</v>
      </c>
      <c r="CJO14" s="137" t="s">
        <v>2513</v>
      </c>
      <c r="CJP14" s="137" t="s">
        <v>2514</v>
      </c>
      <c r="CJQ14" s="137" t="s">
        <v>2515</v>
      </c>
      <c r="CJR14" s="137" t="s">
        <v>2516</v>
      </c>
      <c r="CJS14" s="137" t="s">
        <v>2517</v>
      </c>
      <c r="CJT14" s="137" t="s">
        <v>2518</v>
      </c>
      <c r="CJU14" s="137" t="s">
        <v>2519</v>
      </c>
      <c r="CJV14" s="137" t="s">
        <v>2520</v>
      </c>
      <c r="CJW14" s="137" t="s">
        <v>2521</v>
      </c>
      <c r="CJX14" s="137" t="s">
        <v>2522</v>
      </c>
      <c r="CJY14" s="137" t="s">
        <v>2523</v>
      </c>
      <c r="CJZ14" s="137" t="s">
        <v>2524</v>
      </c>
      <c r="CKA14" s="137" t="s">
        <v>2525</v>
      </c>
      <c r="CKB14" s="137" t="s">
        <v>2526</v>
      </c>
      <c r="CKC14" s="137" t="s">
        <v>2527</v>
      </c>
      <c r="CKD14" s="137" t="s">
        <v>2528</v>
      </c>
      <c r="CKE14" s="137" t="s">
        <v>2529</v>
      </c>
      <c r="CKF14" s="137" t="s">
        <v>2530</v>
      </c>
      <c r="CKG14" s="137" t="s">
        <v>2531</v>
      </c>
      <c r="CKH14" s="137" t="s">
        <v>2532</v>
      </c>
      <c r="CKI14" s="137" t="s">
        <v>2533</v>
      </c>
      <c r="CKJ14" s="137" t="s">
        <v>2534</v>
      </c>
      <c r="CKK14" s="137" t="s">
        <v>2535</v>
      </c>
      <c r="CKL14" s="137" t="s">
        <v>2536</v>
      </c>
      <c r="CKM14" s="137" t="s">
        <v>2537</v>
      </c>
      <c r="CKN14" s="137" t="s">
        <v>2538</v>
      </c>
      <c r="CKO14" s="137" t="s">
        <v>2539</v>
      </c>
      <c r="CKP14" s="137" t="s">
        <v>2540</v>
      </c>
      <c r="CKQ14" s="137" t="s">
        <v>2541</v>
      </c>
      <c r="CKR14" s="137" t="s">
        <v>2542</v>
      </c>
      <c r="CKS14" s="137" t="s">
        <v>2543</v>
      </c>
      <c r="CKT14" s="137" t="s">
        <v>2544</v>
      </c>
      <c r="CKU14" s="137" t="s">
        <v>2545</v>
      </c>
      <c r="CKV14" s="137" t="s">
        <v>2546</v>
      </c>
      <c r="CKW14" s="137" t="s">
        <v>2547</v>
      </c>
      <c r="CKX14" s="137" t="s">
        <v>2548</v>
      </c>
      <c r="CKY14" s="137" t="s">
        <v>2549</v>
      </c>
      <c r="CKZ14" s="137" t="s">
        <v>2550</v>
      </c>
      <c r="CLA14" s="137" t="s">
        <v>2551</v>
      </c>
      <c r="CLB14" s="137" t="s">
        <v>2552</v>
      </c>
      <c r="CLC14" s="137" t="s">
        <v>2553</v>
      </c>
      <c r="CLD14" s="137" t="s">
        <v>2554</v>
      </c>
      <c r="CLE14" s="137" t="s">
        <v>2555</v>
      </c>
      <c r="CLF14" s="137" t="s">
        <v>2556</v>
      </c>
      <c r="CLG14" s="137" t="s">
        <v>2557</v>
      </c>
      <c r="CLH14" s="137" t="s">
        <v>2558</v>
      </c>
      <c r="CLI14" s="137" t="s">
        <v>2559</v>
      </c>
      <c r="CLJ14" s="137" t="s">
        <v>2560</v>
      </c>
      <c r="CLK14" s="137" t="s">
        <v>2561</v>
      </c>
      <c r="CLL14" s="137" t="s">
        <v>2562</v>
      </c>
      <c r="CLM14" s="137" t="s">
        <v>2563</v>
      </c>
      <c r="CLN14" s="137" t="s">
        <v>2564</v>
      </c>
      <c r="CLO14" s="137" t="s">
        <v>2565</v>
      </c>
      <c r="CLP14" s="137" t="s">
        <v>2566</v>
      </c>
      <c r="CLQ14" s="137" t="s">
        <v>2567</v>
      </c>
      <c r="CLR14" s="137" t="s">
        <v>2568</v>
      </c>
      <c r="CLS14" s="137" t="s">
        <v>2569</v>
      </c>
      <c r="CLT14" s="137" t="s">
        <v>2570</v>
      </c>
      <c r="CLU14" s="137" t="s">
        <v>2571</v>
      </c>
      <c r="CLV14" s="137" t="s">
        <v>2572</v>
      </c>
      <c r="CLW14" s="137" t="s">
        <v>2573</v>
      </c>
      <c r="CLX14" s="137" t="s">
        <v>2574</v>
      </c>
      <c r="CLY14" s="137" t="s">
        <v>2575</v>
      </c>
      <c r="CLZ14" s="137" t="s">
        <v>2576</v>
      </c>
      <c r="CMA14" s="137" t="s">
        <v>2577</v>
      </c>
      <c r="CMB14" s="137" t="s">
        <v>2578</v>
      </c>
      <c r="CMC14" s="137" t="s">
        <v>2579</v>
      </c>
      <c r="CMD14" s="137" t="s">
        <v>2580</v>
      </c>
      <c r="CME14" s="137" t="s">
        <v>2581</v>
      </c>
      <c r="CMF14" s="137" t="s">
        <v>2582</v>
      </c>
      <c r="CMG14" s="137" t="s">
        <v>2583</v>
      </c>
      <c r="CMH14" s="137" t="s">
        <v>2584</v>
      </c>
      <c r="CMI14" s="137" t="s">
        <v>2585</v>
      </c>
      <c r="CMJ14" s="137" t="s">
        <v>2586</v>
      </c>
      <c r="CMK14" s="137" t="s">
        <v>2587</v>
      </c>
      <c r="CML14" s="137" t="s">
        <v>2588</v>
      </c>
      <c r="CMM14" s="137" t="s">
        <v>2589</v>
      </c>
      <c r="CMN14" s="137" t="s">
        <v>2590</v>
      </c>
      <c r="CMO14" s="137" t="s">
        <v>2591</v>
      </c>
      <c r="CMP14" s="137" t="s">
        <v>2592</v>
      </c>
      <c r="CMQ14" s="137" t="s">
        <v>2593</v>
      </c>
      <c r="CMR14" s="137" t="s">
        <v>2594</v>
      </c>
      <c r="CMS14" s="137" t="s">
        <v>2595</v>
      </c>
      <c r="CMT14" s="137" t="s">
        <v>2596</v>
      </c>
      <c r="CMU14" s="137" t="s">
        <v>2597</v>
      </c>
      <c r="CMV14" s="137" t="s">
        <v>2598</v>
      </c>
      <c r="CMW14" s="137" t="s">
        <v>2599</v>
      </c>
      <c r="CMX14" s="137" t="s">
        <v>2600</v>
      </c>
      <c r="CMY14" s="137" t="s">
        <v>2601</v>
      </c>
      <c r="CMZ14" s="137" t="s">
        <v>2602</v>
      </c>
      <c r="CNA14" s="137" t="s">
        <v>2603</v>
      </c>
      <c r="CNB14" s="137" t="s">
        <v>2604</v>
      </c>
      <c r="CNC14" s="137" t="s">
        <v>2605</v>
      </c>
      <c r="CND14" s="137" t="s">
        <v>2606</v>
      </c>
      <c r="CNE14" s="137" t="s">
        <v>2607</v>
      </c>
      <c r="CNF14" s="137" t="s">
        <v>2608</v>
      </c>
      <c r="CNG14" s="137" t="s">
        <v>2609</v>
      </c>
      <c r="CNH14" s="137" t="s">
        <v>2610</v>
      </c>
      <c r="CNI14" s="137" t="s">
        <v>2611</v>
      </c>
      <c r="CNJ14" s="137" t="s">
        <v>2612</v>
      </c>
      <c r="CNK14" s="137" t="s">
        <v>2613</v>
      </c>
      <c r="CNL14" s="137" t="s">
        <v>2614</v>
      </c>
      <c r="CNM14" s="137" t="s">
        <v>2615</v>
      </c>
      <c r="CNN14" s="137" t="s">
        <v>2616</v>
      </c>
      <c r="CNO14" s="137" t="s">
        <v>2617</v>
      </c>
      <c r="CNP14" s="137" t="s">
        <v>2618</v>
      </c>
      <c r="CNQ14" s="137" t="s">
        <v>2619</v>
      </c>
      <c r="CNR14" s="137" t="s">
        <v>2620</v>
      </c>
      <c r="CNS14" s="137" t="s">
        <v>2621</v>
      </c>
      <c r="CNT14" s="137" t="s">
        <v>2622</v>
      </c>
      <c r="CNU14" s="137" t="s">
        <v>2623</v>
      </c>
      <c r="CNV14" s="137" t="s">
        <v>2624</v>
      </c>
      <c r="CNW14" s="137" t="s">
        <v>2625</v>
      </c>
      <c r="CNX14" s="137" t="s">
        <v>2626</v>
      </c>
      <c r="CNY14" s="137" t="s">
        <v>2627</v>
      </c>
      <c r="CNZ14" s="137" t="s">
        <v>2628</v>
      </c>
      <c r="COA14" s="137" t="s">
        <v>2629</v>
      </c>
      <c r="COB14" s="137" t="s">
        <v>2630</v>
      </c>
      <c r="COC14" s="137" t="s">
        <v>2631</v>
      </c>
      <c r="COD14" s="137" t="s">
        <v>2632</v>
      </c>
      <c r="COE14" s="137" t="s">
        <v>2633</v>
      </c>
      <c r="COF14" s="137" t="s">
        <v>2634</v>
      </c>
      <c r="COG14" s="137" t="s">
        <v>2635</v>
      </c>
      <c r="COH14" s="137" t="s">
        <v>2636</v>
      </c>
      <c r="COI14" s="137" t="s">
        <v>2637</v>
      </c>
      <c r="COJ14" s="137" t="s">
        <v>2638</v>
      </c>
      <c r="COK14" s="137" t="s">
        <v>2639</v>
      </c>
      <c r="COL14" s="137" t="s">
        <v>2640</v>
      </c>
      <c r="COM14" s="137" t="s">
        <v>2641</v>
      </c>
      <c r="CON14" s="137" t="s">
        <v>2642</v>
      </c>
      <c r="COO14" s="137" t="s">
        <v>2643</v>
      </c>
      <c r="COP14" s="137" t="s">
        <v>2644</v>
      </c>
      <c r="COQ14" s="137" t="s">
        <v>2645</v>
      </c>
      <c r="COR14" s="137" t="s">
        <v>2646</v>
      </c>
      <c r="COS14" s="137" t="s">
        <v>2647</v>
      </c>
      <c r="COT14" s="137" t="s">
        <v>2648</v>
      </c>
      <c r="COU14" s="137" t="s">
        <v>2649</v>
      </c>
      <c r="COV14" s="137" t="s">
        <v>2650</v>
      </c>
      <c r="COW14" s="137" t="s">
        <v>2651</v>
      </c>
      <c r="COX14" s="137" t="s">
        <v>2652</v>
      </c>
      <c r="COY14" s="137" t="s">
        <v>2653</v>
      </c>
      <c r="COZ14" s="137" t="s">
        <v>2654</v>
      </c>
      <c r="CPA14" s="137" t="s">
        <v>2655</v>
      </c>
      <c r="CPB14" s="137" t="s">
        <v>2656</v>
      </c>
      <c r="CPC14" s="137" t="s">
        <v>2657</v>
      </c>
      <c r="CPD14" s="137" t="s">
        <v>2658</v>
      </c>
      <c r="CPE14" s="137" t="s">
        <v>2659</v>
      </c>
      <c r="CPF14" s="137" t="s">
        <v>2660</v>
      </c>
      <c r="CPG14" s="137" t="s">
        <v>2661</v>
      </c>
      <c r="CPH14" s="137" t="s">
        <v>2662</v>
      </c>
      <c r="CPI14" s="137" t="s">
        <v>2663</v>
      </c>
      <c r="CPJ14" s="137" t="s">
        <v>2664</v>
      </c>
      <c r="CPK14" s="137" t="s">
        <v>2665</v>
      </c>
      <c r="CPL14" s="137" t="s">
        <v>2666</v>
      </c>
      <c r="CPM14" s="137" t="s">
        <v>2667</v>
      </c>
      <c r="CPN14" s="137" t="s">
        <v>2668</v>
      </c>
      <c r="CPO14" s="137" t="s">
        <v>2669</v>
      </c>
      <c r="CPP14" s="137" t="s">
        <v>2670</v>
      </c>
      <c r="CPQ14" s="137" t="s">
        <v>2671</v>
      </c>
      <c r="CPR14" s="137" t="s">
        <v>2672</v>
      </c>
      <c r="CPS14" s="137" t="s">
        <v>2673</v>
      </c>
      <c r="CPT14" s="137" t="s">
        <v>2674</v>
      </c>
      <c r="CPU14" s="137" t="s">
        <v>2675</v>
      </c>
      <c r="CPV14" s="137" t="s">
        <v>2676</v>
      </c>
      <c r="CPW14" s="137" t="s">
        <v>2677</v>
      </c>
      <c r="CPX14" s="137" t="s">
        <v>2678</v>
      </c>
      <c r="CPY14" s="137" t="s">
        <v>2679</v>
      </c>
      <c r="CPZ14" s="137" t="s">
        <v>2680</v>
      </c>
      <c r="CQA14" s="137" t="s">
        <v>2681</v>
      </c>
      <c r="CQB14" s="137" t="s">
        <v>2682</v>
      </c>
      <c r="CQC14" s="137" t="s">
        <v>2683</v>
      </c>
      <c r="CQD14" s="137" t="s">
        <v>2684</v>
      </c>
      <c r="CQE14" s="137" t="s">
        <v>2685</v>
      </c>
      <c r="CQF14" s="137" t="s">
        <v>2686</v>
      </c>
      <c r="CQG14" s="137" t="s">
        <v>2687</v>
      </c>
      <c r="CQH14" s="137" t="s">
        <v>2688</v>
      </c>
      <c r="CQI14" s="137" t="s">
        <v>2689</v>
      </c>
      <c r="CQJ14" s="137" t="s">
        <v>2690</v>
      </c>
      <c r="CQK14" s="137" t="s">
        <v>2691</v>
      </c>
      <c r="CQL14" s="137" t="s">
        <v>2692</v>
      </c>
      <c r="CQM14" s="137" t="s">
        <v>2693</v>
      </c>
      <c r="CQN14" s="137" t="s">
        <v>2694</v>
      </c>
      <c r="CQO14" s="137" t="s">
        <v>2695</v>
      </c>
      <c r="CQP14" s="137" t="s">
        <v>2696</v>
      </c>
      <c r="CQQ14" s="137" t="s">
        <v>2697</v>
      </c>
      <c r="CQR14" s="137" t="s">
        <v>2698</v>
      </c>
      <c r="CQS14" s="137" t="s">
        <v>2699</v>
      </c>
      <c r="CQT14" s="137" t="s">
        <v>2700</v>
      </c>
      <c r="CQU14" s="137" t="s">
        <v>2701</v>
      </c>
      <c r="CQV14" s="137" t="s">
        <v>2702</v>
      </c>
      <c r="CQW14" s="137" t="s">
        <v>2703</v>
      </c>
      <c r="CQX14" s="137" t="s">
        <v>2704</v>
      </c>
      <c r="CQY14" s="137" t="s">
        <v>2705</v>
      </c>
      <c r="CQZ14" s="137" t="s">
        <v>2706</v>
      </c>
      <c r="CRA14" s="137" t="s">
        <v>2707</v>
      </c>
      <c r="CRB14" s="137" t="s">
        <v>2708</v>
      </c>
      <c r="CRC14" s="137" t="s">
        <v>2709</v>
      </c>
      <c r="CRD14" s="137" t="s">
        <v>2710</v>
      </c>
      <c r="CRE14" s="137" t="s">
        <v>2711</v>
      </c>
      <c r="CRF14" s="137" t="s">
        <v>2712</v>
      </c>
      <c r="CRG14" s="137" t="s">
        <v>2713</v>
      </c>
      <c r="CRH14" s="137" t="s">
        <v>2714</v>
      </c>
      <c r="CRI14" s="137" t="s">
        <v>2715</v>
      </c>
      <c r="CRJ14" s="137" t="s">
        <v>2716</v>
      </c>
      <c r="CRK14" s="137" t="s">
        <v>2717</v>
      </c>
      <c r="CRL14" s="137" t="s">
        <v>2718</v>
      </c>
      <c r="CRM14" s="137" t="s">
        <v>2719</v>
      </c>
      <c r="CRN14" s="137" t="s">
        <v>2720</v>
      </c>
      <c r="CRO14" s="137" t="s">
        <v>2721</v>
      </c>
      <c r="CRP14" s="137" t="s">
        <v>2722</v>
      </c>
      <c r="CRQ14" s="137" t="s">
        <v>2723</v>
      </c>
      <c r="CRR14" s="137" t="s">
        <v>2724</v>
      </c>
      <c r="CRS14" s="137" t="s">
        <v>2725</v>
      </c>
      <c r="CRT14" s="137" t="s">
        <v>2726</v>
      </c>
      <c r="CRU14" s="137" t="s">
        <v>2727</v>
      </c>
      <c r="CRV14" s="137" t="s">
        <v>2728</v>
      </c>
      <c r="CRW14" s="137" t="s">
        <v>2729</v>
      </c>
      <c r="CRX14" s="137" t="s">
        <v>2730</v>
      </c>
      <c r="CRY14" s="137" t="s">
        <v>2731</v>
      </c>
      <c r="CRZ14" s="137" t="s">
        <v>2732</v>
      </c>
      <c r="CSA14" s="137" t="s">
        <v>2733</v>
      </c>
      <c r="CSB14" s="137" t="s">
        <v>2734</v>
      </c>
      <c r="CSC14" s="137" t="s">
        <v>2735</v>
      </c>
      <c r="CSD14" s="137" t="s">
        <v>2736</v>
      </c>
      <c r="CSE14" s="137" t="s">
        <v>2737</v>
      </c>
      <c r="CSF14" s="137" t="s">
        <v>2738</v>
      </c>
      <c r="CSG14" s="137" t="s">
        <v>2739</v>
      </c>
      <c r="CSH14" s="137" t="s">
        <v>2740</v>
      </c>
      <c r="CSI14" s="137" t="s">
        <v>2741</v>
      </c>
      <c r="CSJ14" s="137" t="s">
        <v>2742</v>
      </c>
      <c r="CSK14" s="137" t="s">
        <v>2743</v>
      </c>
      <c r="CSL14" s="137" t="s">
        <v>2744</v>
      </c>
      <c r="CSM14" s="137" t="s">
        <v>2745</v>
      </c>
      <c r="CSN14" s="137" t="s">
        <v>2746</v>
      </c>
      <c r="CSO14" s="137" t="s">
        <v>2747</v>
      </c>
      <c r="CSP14" s="137" t="s">
        <v>2748</v>
      </c>
      <c r="CSQ14" s="137" t="s">
        <v>2749</v>
      </c>
      <c r="CSR14" s="137" t="s">
        <v>2750</v>
      </c>
      <c r="CSS14" s="137" t="s">
        <v>2751</v>
      </c>
      <c r="CST14" s="137" t="s">
        <v>2752</v>
      </c>
      <c r="CSU14" s="137" t="s">
        <v>2753</v>
      </c>
      <c r="CSV14" s="137" t="s">
        <v>2754</v>
      </c>
      <c r="CSW14" s="137" t="s">
        <v>2755</v>
      </c>
      <c r="CSX14" s="137" t="s">
        <v>2756</v>
      </c>
      <c r="CSY14" s="137" t="s">
        <v>2757</v>
      </c>
      <c r="CSZ14" s="137" t="s">
        <v>2758</v>
      </c>
      <c r="CTA14" s="137" t="s">
        <v>2759</v>
      </c>
      <c r="CTB14" s="137" t="s">
        <v>2760</v>
      </c>
      <c r="CTC14" s="137" t="s">
        <v>2761</v>
      </c>
      <c r="CTD14" s="137" t="s">
        <v>2762</v>
      </c>
      <c r="CTE14" s="137" t="s">
        <v>2763</v>
      </c>
      <c r="CTF14" s="137" t="s">
        <v>2764</v>
      </c>
      <c r="CTG14" s="137" t="s">
        <v>2765</v>
      </c>
      <c r="CTH14" s="137" t="s">
        <v>2766</v>
      </c>
      <c r="CTI14" s="137" t="s">
        <v>2767</v>
      </c>
      <c r="CTJ14" s="137" t="s">
        <v>2768</v>
      </c>
      <c r="CTK14" s="137" t="s">
        <v>2769</v>
      </c>
      <c r="CTL14" s="137" t="s">
        <v>2770</v>
      </c>
      <c r="CTM14" s="137" t="s">
        <v>2771</v>
      </c>
      <c r="CTN14" s="137" t="s">
        <v>2772</v>
      </c>
      <c r="CTO14" s="137" t="s">
        <v>2773</v>
      </c>
      <c r="CTP14" s="137" t="s">
        <v>2774</v>
      </c>
      <c r="CTQ14" s="137" t="s">
        <v>2775</v>
      </c>
      <c r="CTR14" s="137" t="s">
        <v>2776</v>
      </c>
      <c r="CTS14" s="137" t="s">
        <v>2777</v>
      </c>
      <c r="CTT14" s="137" t="s">
        <v>2778</v>
      </c>
      <c r="CTU14" s="137" t="s">
        <v>2779</v>
      </c>
      <c r="CTV14" s="137" t="s">
        <v>2780</v>
      </c>
      <c r="CTW14" s="137" t="s">
        <v>2781</v>
      </c>
      <c r="CTX14" s="137" t="s">
        <v>2782</v>
      </c>
      <c r="CTY14" s="137" t="s">
        <v>2783</v>
      </c>
      <c r="CTZ14" s="137" t="s">
        <v>2784</v>
      </c>
      <c r="CUA14" s="137" t="s">
        <v>2785</v>
      </c>
      <c r="CUB14" s="137" t="s">
        <v>2786</v>
      </c>
      <c r="CUC14" s="137" t="s">
        <v>2787</v>
      </c>
      <c r="CUD14" s="137" t="s">
        <v>2788</v>
      </c>
      <c r="CUE14" s="137" t="s">
        <v>2789</v>
      </c>
      <c r="CUF14" s="137" t="s">
        <v>2790</v>
      </c>
      <c r="CUG14" s="137" t="s">
        <v>2791</v>
      </c>
      <c r="CUH14" s="137" t="s">
        <v>2792</v>
      </c>
      <c r="CUI14" s="137" t="s">
        <v>2793</v>
      </c>
      <c r="CUJ14" s="137" t="s">
        <v>2794</v>
      </c>
      <c r="CUK14" s="137" t="s">
        <v>2795</v>
      </c>
      <c r="CUL14" s="137" t="s">
        <v>2796</v>
      </c>
      <c r="CUM14" s="137" t="s">
        <v>2797</v>
      </c>
      <c r="CUN14" s="137" t="s">
        <v>2798</v>
      </c>
      <c r="CUO14" s="137" t="s">
        <v>2799</v>
      </c>
      <c r="CUP14" s="137" t="s">
        <v>2800</v>
      </c>
      <c r="CUQ14" s="137" t="s">
        <v>2801</v>
      </c>
      <c r="CUR14" s="137" t="s">
        <v>2802</v>
      </c>
      <c r="CUS14" s="137" t="s">
        <v>2803</v>
      </c>
      <c r="CUT14" s="137" t="s">
        <v>2804</v>
      </c>
      <c r="CUU14" s="137" t="s">
        <v>2805</v>
      </c>
      <c r="CUV14" s="137" t="s">
        <v>2806</v>
      </c>
      <c r="CUW14" s="137" t="s">
        <v>2807</v>
      </c>
      <c r="CUX14" s="137" t="s">
        <v>2808</v>
      </c>
      <c r="CUY14" s="137" t="s">
        <v>2809</v>
      </c>
      <c r="CUZ14" s="137" t="s">
        <v>2810</v>
      </c>
      <c r="CVA14" s="137" t="s">
        <v>2811</v>
      </c>
      <c r="CVB14" s="137" t="s">
        <v>2812</v>
      </c>
      <c r="CVC14" s="137" t="s">
        <v>2813</v>
      </c>
      <c r="CVD14" s="137" t="s">
        <v>2814</v>
      </c>
      <c r="CVE14" s="137" t="s">
        <v>2815</v>
      </c>
      <c r="CVF14" s="137" t="s">
        <v>2816</v>
      </c>
      <c r="CVG14" s="137" t="s">
        <v>2817</v>
      </c>
      <c r="CVH14" s="137" t="s">
        <v>2818</v>
      </c>
      <c r="CVI14" s="137" t="s">
        <v>2819</v>
      </c>
      <c r="CVJ14" s="137" t="s">
        <v>2820</v>
      </c>
      <c r="CVK14" s="137" t="s">
        <v>2821</v>
      </c>
      <c r="CVL14" s="137" t="s">
        <v>2822</v>
      </c>
      <c r="CVM14" s="137" t="s">
        <v>2823</v>
      </c>
      <c r="CVN14" s="137" t="s">
        <v>2824</v>
      </c>
      <c r="CVO14" s="137" t="s">
        <v>2825</v>
      </c>
      <c r="CVP14" s="137" t="s">
        <v>2826</v>
      </c>
      <c r="CVQ14" s="137" t="s">
        <v>2827</v>
      </c>
      <c r="CVR14" s="137" t="s">
        <v>2828</v>
      </c>
      <c r="CVS14" s="137" t="s">
        <v>2829</v>
      </c>
      <c r="CVT14" s="137" t="s">
        <v>2830</v>
      </c>
      <c r="CVU14" s="137" t="s">
        <v>2831</v>
      </c>
      <c r="CVV14" s="137" t="s">
        <v>2832</v>
      </c>
      <c r="CVW14" s="137" t="s">
        <v>2833</v>
      </c>
      <c r="CVX14" s="137" t="s">
        <v>2834</v>
      </c>
      <c r="CVY14" s="137" t="s">
        <v>2835</v>
      </c>
      <c r="CVZ14" s="137" t="s">
        <v>2836</v>
      </c>
      <c r="CWA14" s="137" t="s">
        <v>2837</v>
      </c>
      <c r="CWB14" s="137" t="s">
        <v>2838</v>
      </c>
      <c r="CWC14" s="137" t="s">
        <v>2839</v>
      </c>
      <c r="CWD14" s="137" t="s">
        <v>2840</v>
      </c>
      <c r="CWE14" s="137" t="s">
        <v>2841</v>
      </c>
      <c r="CWF14" s="137" t="s">
        <v>2842</v>
      </c>
      <c r="CWG14" s="137" t="s">
        <v>2843</v>
      </c>
      <c r="CWH14" s="137" t="s">
        <v>2844</v>
      </c>
      <c r="CWI14" s="137" t="s">
        <v>2845</v>
      </c>
      <c r="CWJ14" s="137" t="s">
        <v>2846</v>
      </c>
      <c r="CWK14" s="137" t="s">
        <v>2847</v>
      </c>
      <c r="CWL14" s="137" t="s">
        <v>2848</v>
      </c>
      <c r="CWM14" s="137" t="s">
        <v>2849</v>
      </c>
      <c r="CWN14" s="137" t="s">
        <v>2850</v>
      </c>
      <c r="CWO14" s="137" t="s">
        <v>2851</v>
      </c>
      <c r="CWP14" s="137" t="s">
        <v>2852</v>
      </c>
      <c r="CWQ14" s="137" t="s">
        <v>2853</v>
      </c>
      <c r="CWR14" s="137" t="s">
        <v>2854</v>
      </c>
      <c r="CWS14" s="137" t="s">
        <v>2855</v>
      </c>
      <c r="CWT14" s="137" t="s">
        <v>2856</v>
      </c>
      <c r="CWU14" s="137" t="s">
        <v>2857</v>
      </c>
      <c r="CWV14" s="137" t="s">
        <v>2858</v>
      </c>
      <c r="CWW14" s="137" t="s">
        <v>2859</v>
      </c>
      <c r="CWX14" s="137" t="s">
        <v>2860</v>
      </c>
      <c r="CWY14" s="137" t="s">
        <v>2861</v>
      </c>
      <c r="CWZ14" s="137" t="s">
        <v>2862</v>
      </c>
      <c r="CXA14" s="137" t="s">
        <v>2863</v>
      </c>
      <c r="CXB14" s="137" t="s">
        <v>2864</v>
      </c>
      <c r="CXC14" s="137" t="s">
        <v>2865</v>
      </c>
      <c r="CXD14" s="137" t="s">
        <v>2866</v>
      </c>
      <c r="CXE14" s="137" t="s">
        <v>2867</v>
      </c>
      <c r="CXF14" s="137" t="s">
        <v>2868</v>
      </c>
      <c r="CXG14" s="137" t="s">
        <v>2869</v>
      </c>
      <c r="CXH14" s="137" t="s">
        <v>2870</v>
      </c>
      <c r="CXI14" s="137" t="s">
        <v>2871</v>
      </c>
      <c r="CXJ14" s="137" t="s">
        <v>2872</v>
      </c>
      <c r="CXK14" s="137" t="s">
        <v>2873</v>
      </c>
      <c r="CXL14" s="137" t="s">
        <v>2874</v>
      </c>
      <c r="CXM14" s="137" t="s">
        <v>2875</v>
      </c>
      <c r="CXN14" s="137" t="s">
        <v>2876</v>
      </c>
      <c r="CXO14" s="137" t="s">
        <v>2877</v>
      </c>
      <c r="CXP14" s="137" t="s">
        <v>2878</v>
      </c>
      <c r="CXQ14" s="137" t="s">
        <v>2879</v>
      </c>
      <c r="CXR14" s="137" t="s">
        <v>2880</v>
      </c>
      <c r="CXS14" s="137" t="s">
        <v>2881</v>
      </c>
      <c r="CXT14" s="137" t="s">
        <v>2882</v>
      </c>
      <c r="CXU14" s="137" t="s">
        <v>2883</v>
      </c>
      <c r="CXV14" s="137" t="s">
        <v>2884</v>
      </c>
      <c r="CXW14" s="137" t="s">
        <v>2885</v>
      </c>
      <c r="CXX14" s="137" t="s">
        <v>2886</v>
      </c>
      <c r="CXY14" s="137" t="s">
        <v>2887</v>
      </c>
      <c r="CXZ14" s="137" t="s">
        <v>2888</v>
      </c>
      <c r="CYA14" s="137" t="s">
        <v>2889</v>
      </c>
      <c r="CYB14" s="137" t="s">
        <v>2890</v>
      </c>
      <c r="CYC14" s="137" t="s">
        <v>2891</v>
      </c>
      <c r="CYD14" s="137" t="s">
        <v>2892</v>
      </c>
      <c r="CYE14" s="137" t="s">
        <v>2893</v>
      </c>
      <c r="CYF14" s="137" t="s">
        <v>2894</v>
      </c>
      <c r="CYG14" s="137" t="s">
        <v>2895</v>
      </c>
      <c r="CYH14" s="137" t="s">
        <v>2896</v>
      </c>
      <c r="CYI14" s="137" t="s">
        <v>2897</v>
      </c>
      <c r="CYJ14" s="137" t="s">
        <v>2898</v>
      </c>
      <c r="CYK14" s="137" t="s">
        <v>2899</v>
      </c>
      <c r="CYL14" s="137" t="s">
        <v>2900</v>
      </c>
      <c r="CYM14" s="137" t="s">
        <v>2901</v>
      </c>
      <c r="CYN14" s="137" t="s">
        <v>2902</v>
      </c>
      <c r="CYO14" s="137" t="s">
        <v>2903</v>
      </c>
      <c r="CYP14" s="137" t="s">
        <v>2904</v>
      </c>
      <c r="CYQ14" s="137" t="s">
        <v>2905</v>
      </c>
      <c r="CYR14" s="137" t="s">
        <v>2906</v>
      </c>
      <c r="CYS14" s="137" t="s">
        <v>2907</v>
      </c>
      <c r="CYT14" s="137" t="s">
        <v>2908</v>
      </c>
      <c r="CYU14" s="137" t="s">
        <v>2909</v>
      </c>
      <c r="CYV14" s="137" t="s">
        <v>2910</v>
      </c>
      <c r="CYW14" s="137" t="s">
        <v>2911</v>
      </c>
      <c r="CYX14" s="137" t="s">
        <v>2912</v>
      </c>
      <c r="CYY14" s="137" t="s">
        <v>2913</v>
      </c>
      <c r="CYZ14" s="137" t="s">
        <v>2914</v>
      </c>
      <c r="CZA14" s="137" t="s">
        <v>2915</v>
      </c>
      <c r="CZB14" s="137" t="s">
        <v>2916</v>
      </c>
      <c r="CZC14" s="137" t="s">
        <v>2917</v>
      </c>
      <c r="CZD14" s="137" t="s">
        <v>2918</v>
      </c>
      <c r="CZE14" s="137" t="s">
        <v>2919</v>
      </c>
      <c r="CZF14" s="137" t="s">
        <v>2920</v>
      </c>
      <c r="CZG14" s="137" t="s">
        <v>2921</v>
      </c>
      <c r="CZH14" s="137" t="s">
        <v>2922</v>
      </c>
      <c r="CZI14" s="137" t="s">
        <v>2923</v>
      </c>
      <c r="CZJ14" s="137" t="s">
        <v>2924</v>
      </c>
      <c r="CZK14" s="137" t="s">
        <v>2925</v>
      </c>
      <c r="CZL14" s="137" t="s">
        <v>2926</v>
      </c>
      <c r="CZM14" s="137" t="s">
        <v>2927</v>
      </c>
      <c r="CZN14" s="137" t="s">
        <v>2928</v>
      </c>
      <c r="CZO14" s="137" t="s">
        <v>2929</v>
      </c>
      <c r="CZP14" s="137" t="s">
        <v>2930</v>
      </c>
      <c r="CZQ14" s="137" t="s">
        <v>2931</v>
      </c>
      <c r="CZR14" s="137" t="s">
        <v>2932</v>
      </c>
      <c r="CZS14" s="137" t="s">
        <v>2933</v>
      </c>
      <c r="CZT14" s="137" t="s">
        <v>2934</v>
      </c>
      <c r="CZU14" s="137" t="s">
        <v>2935</v>
      </c>
      <c r="CZV14" s="137" t="s">
        <v>2936</v>
      </c>
      <c r="CZW14" s="137" t="s">
        <v>2937</v>
      </c>
      <c r="CZX14" s="137" t="s">
        <v>2938</v>
      </c>
      <c r="CZY14" s="137" t="s">
        <v>2939</v>
      </c>
      <c r="CZZ14" s="137" t="s">
        <v>2940</v>
      </c>
      <c r="DAA14" s="137" t="s">
        <v>2941</v>
      </c>
      <c r="DAB14" s="137" t="s">
        <v>2942</v>
      </c>
      <c r="DAC14" s="137" t="s">
        <v>2943</v>
      </c>
      <c r="DAD14" s="137" t="s">
        <v>2944</v>
      </c>
      <c r="DAE14" s="137" t="s">
        <v>2945</v>
      </c>
      <c r="DAF14" s="137" t="s">
        <v>2946</v>
      </c>
      <c r="DAG14" s="137" t="s">
        <v>2947</v>
      </c>
      <c r="DAH14" s="137" t="s">
        <v>2948</v>
      </c>
      <c r="DAI14" s="137" t="s">
        <v>2949</v>
      </c>
      <c r="DAJ14" s="137" t="s">
        <v>2950</v>
      </c>
      <c r="DAK14" s="137" t="s">
        <v>2951</v>
      </c>
      <c r="DAL14" s="137" t="s">
        <v>2952</v>
      </c>
      <c r="DAM14" s="137" t="s">
        <v>2953</v>
      </c>
      <c r="DAN14" s="137" t="s">
        <v>2954</v>
      </c>
      <c r="DAO14" s="137" t="s">
        <v>2955</v>
      </c>
      <c r="DAP14" s="137" t="s">
        <v>2956</v>
      </c>
      <c r="DAQ14" s="137" t="s">
        <v>2957</v>
      </c>
      <c r="DAR14" s="137" t="s">
        <v>2958</v>
      </c>
      <c r="DAS14" s="137" t="s">
        <v>2959</v>
      </c>
      <c r="DAT14" s="137" t="s">
        <v>2960</v>
      </c>
      <c r="DAU14" s="137" t="s">
        <v>2961</v>
      </c>
      <c r="DAV14" s="137" t="s">
        <v>2962</v>
      </c>
      <c r="DAW14" s="137" t="s">
        <v>2963</v>
      </c>
      <c r="DAX14" s="137" t="s">
        <v>2964</v>
      </c>
      <c r="DAY14" s="137" t="s">
        <v>2965</v>
      </c>
      <c r="DAZ14" s="137" t="s">
        <v>2966</v>
      </c>
      <c r="DBA14" s="137" t="s">
        <v>2967</v>
      </c>
      <c r="DBB14" s="137" t="s">
        <v>2968</v>
      </c>
      <c r="DBC14" s="137" t="s">
        <v>2969</v>
      </c>
      <c r="DBD14" s="137" t="s">
        <v>2970</v>
      </c>
      <c r="DBE14" s="137" t="s">
        <v>2971</v>
      </c>
      <c r="DBF14" s="137" t="s">
        <v>2972</v>
      </c>
      <c r="DBG14" s="137" t="s">
        <v>2973</v>
      </c>
      <c r="DBH14" s="137" t="s">
        <v>2974</v>
      </c>
      <c r="DBI14" s="137" t="s">
        <v>2975</v>
      </c>
      <c r="DBJ14" s="137" t="s">
        <v>2976</v>
      </c>
      <c r="DBK14" s="137" t="s">
        <v>2977</v>
      </c>
      <c r="DBL14" s="137" t="s">
        <v>2978</v>
      </c>
      <c r="DBM14" s="137" t="s">
        <v>2979</v>
      </c>
      <c r="DBN14" s="137" t="s">
        <v>2980</v>
      </c>
      <c r="DBO14" s="137" t="s">
        <v>2981</v>
      </c>
      <c r="DBP14" s="137" t="s">
        <v>2982</v>
      </c>
      <c r="DBQ14" s="137" t="s">
        <v>2983</v>
      </c>
      <c r="DBR14" s="137" t="s">
        <v>2984</v>
      </c>
      <c r="DBS14" s="137" t="s">
        <v>2985</v>
      </c>
      <c r="DBT14" s="137" t="s">
        <v>2986</v>
      </c>
      <c r="DBU14" s="137" t="s">
        <v>2987</v>
      </c>
      <c r="DBV14" s="137" t="s">
        <v>2988</v>
      </c>
      <c r="DBW14" s="137" t="s">
        <v>2989</v>
      </c>
      <c r="DBX14" s="137" t="s">
        <v>2990</v>
      </c>
      <c r="DBY14" s="137" t="s">
        <v>2991</v>
      </c>
      <c r="DBZ14" s="137" t="s">
        <v>2992</v>
      </c>
      <c r="DCA14" s="137" t="s">
        <v>2993</v>
      </c>
      <c r="DCB14" s="137" t="s">
        <v>2994</v>
      </c>
      <c r="DCC14" s="137" t="s">
        <v>2995</v>
      </c>
      <c r="DCD14" s="137" t="s">
        <v>2996</v>
      </c>
      <c r="DCE14" s="137" t="s">
        <v>2997</v>
      </c>
      <c r="DCF14" s="137" t="s">
        <v>2998</v>
      </c>
      <c r="DCG14" s="137" t="s">
        <v>2999</v>
      </c>
      <c r="DCH14" s="137" t="s">
        <v>3000</v>
      </c>
      <c r="DCI14" s="137" t="s">
        <v>3001</v>
      </c>
      <c r="DCJ14" s="137" t="s">
        <v>3002</v>
      </c>
      <c r="DCK14" s="137" t="s">
        <v>3003</v>
      </c>
      <c r="DCL14" s="137" t="s">
        <v>3004</v>
      </c>
      <c r="DCM14" s="137" t="s">
        <v>3005</v>
      </c>
      <c r="DCN14" s="137" t="s">
        <v>3006</v>
      </c>
      <c r="DCO14" s="137" t="s">
        <v>3007</v>
      </c>
      <c r="DCP14" s="137" t="s">
        <v>3008</v>
      </c>
      <c r="DCQ14" s="137" t="s">
        <v>3009</v>
      </c>
      <c r="DCR14" s="137" t="s">
        <v>3010</v>
      </c>
      <c r="DCS14" s="137" t="s">
        <v>3011</v>
      </c>
      <c r="DCT14" s="137" t="s">
        <v>3012</v>
      </c>
      <c r="DCU14" s="137" t="s">
        <v>3013</v>
      </c>
      <c r="DCV14" s="137" t="s">
        <v>3014</v>
      </c>
      <c r="DCW14" s="137" t="s">
        <v>3015</v>
      </c>
      <c r="DCX14" s="137" t="s">
        <v>3016</v>
      </c>
      <c r="DCY14" s="137" t="s">
        <v>3017</v>
      </c>
      <c r="DCZ14" s="137" t="s">
        <v>3018</v>
      </c>
      <c r="DDA14" s="137" t="s">
        <v>3019</v>
      </c>
      <c r="DDB14" s="137" t="s">
        <v>3020</v>
      </c>
      <c r="DDC14" s="137" t="s">
        <v>3021</v>
      </c>
      <c r="DDD14" s="137" t="s">
        <v>3022</v>
      </c>
      <c r="DDE14" s="137" t="s">
        <v>3023</v>
      </c>
      <c r="DDF14" s="137" t="s">
        <v>3024</v>
      </c>
      <c r="DDG14" s="137" t="s">
        <v>3025</v>
      </c>
      <c r="DDH14" s="137" t="s">
        <v>3026</v>
      </c>
      <c r="DDI14" s="137" t="s">
        <v>3027</v>
      </c>
      <c r="DDJ14" s="137" t="s">
        <v>3028</v>
      </c>
      <c r="DDK14" s="137" t="s">
        <v>3029</v>
      </c>
      <c r="DDL14" s="137" t="s">
        <v>3030</v>
      </c>
      <c r="DDM14" s="137" t="s">
        <v>3031</v>
      </c>
      <c r="DDN14" s="137" t="s">
        <v>3032</v>
      </c>
      <c r="DDO14" s="137" t="s">
        <v>3033</v>
      </c>
      <c r="DDP14" s="137" t="s">
        <v>3034</v>
      </c>
      <c r="DDQ14" s="137" t="s">
        <v>3035</v>
      </c>
      <c r="DDR14" s="137" t="s">
        <v>3036</v>
      </c>
      <c r="DDS14" s="137" t="s">
        <v>3037</v>
      </c>
      <c r="DDT14" s="137" t="s">
        <v>3038</v>
      </c>
      <c r="DDU14" s="137" t="s">
        <v>3039</v>
      </c>
      <c r="DDV14" s="137" t="s">
        <v>3040</v>
      </c>
      <c r="DDW14" s="137" t="s">
        <v>3041</v>
      </c>
      <c r="DDX14" s="137" t="s">
        <v>3042</v>
      </c>
      <c r="DDY14" s="137" t="s">
        <v>3043</v>
      </c>
      <c r="DDZ14" s="137" t="s">
        <v>3044</v>
      </c>
      <c r="DEA14" s="137" t="s">
        <v>3045</v>
      </c>
      <c r="DEB14" s="137" t="s">
        <v>3046</v>
      </c>
      <c r="DEC14" s="137" t="s">
        <v>3047</v>
      </c>
      <c r="DED14" s="137" t="s">
        <v>3048</v>
      </c>
      <c r="DEE14" s="137" t="s">
        <v>3049</v>
      </c>
      <c r="DEF14" s="137" t="s">
        <v>3050</v>
      </c>
      <c r="DEG14" s="137" t="s">
        <v>3051</v>
      </c>
      <c r="DEH14" s="137" t="s">
        <v>3052</v>
      </c>
      <c r="DEI14" s="137" t="s">
        <v>3053</v>
      </c>
      <c r="DEJ14" s="137" t="s">
        <v>3054</v>
      </c>
      <c r="DEK14" s="137" t="s">
        <v>3055</v>
      </c>
      <c r="DEL14" s="137" t="s">
        <v>3056</v>
      </c>
      <c r="DEM14" s="137" t="s">
        <v>3057</v>
      </c>
      <c r="DEN14" s="137" t="s">
        <v>3058</v>
      </c>
      <c r="DEO14" s="137" t="s">
        <v>3059</v>
      </c>
      <c r="DEP14" s="137" t="s">
        <v>3060</v>
      </c>
      <c r="DEQ14" s="137" t="s">
        <v>3061</v>
      </c>
      <c r="DER14" s="137" t="s">
        <v>3062</v>
      </c>
      <c r="DES14" s="137" t="s">
        <v>3063</v>
      </c>
      <c r="DET14" s="137" t="s">
        <v>3064</v>
      </c>
      <c r="DEU14" s="137" t="s">
        <v>3065</v>
      </c>
      <c r="DEV14" s="137" t="s">
        <v>3066</v>
      </c>
      <c r="DEW14" s="137" t="s">
        <v>3067</v>
      </c>
      <c r="DEX14" s="137" t="s">
        <v>3068</v>
      </c>
      <c r="DEY14" s="137" t="s">
        <v>3069</v>
      </c>
      <c r="DEZ14" s="137" t="s">
        <v>3070</v>
      </c>
      <c r="DFA14" s="137" t="s">
        <v>3071</v>
      </c>
      <c r="DFB14" s="137" t="s">
        <v>3072</v>
      </c>
      <c r="DFC14" s="137" t="s">
        <v>3073</v>
      </c>
      <c r="DFD14" s="137" t="s">
        <v>3074</v>
      </c>
      <c r="DFE14" s="137" t="s">
        <v>3075</v>
      </c>
      <c r="DFF14" s="137" t="s">
        <v>3076</v>
      </c>
      <c r="DFG14" s="137" t="s">
        <v>3077</v>
      </c>
      <c r="DFH14" s="137" t="s">
        <v>3078</v>
      </c>
      <c r="DFI14" s="137" t="s">
        <v>3079</v>
      </c>
      <c r="DFJ14" s="137" t="s">
        <v>3080</v>
      </c>
      <c r="DFK14" s="137" t="s">
        <v>3081</v>
      </c>
      <c r="DFL14" s="137" t="s">
        <v>3082</v>
      </c>
      <c r="DFM14" s="137" t="s">
        <v>3083</v>
      </c>
      <c r="DFN14" s="137" t="s">
        <v>3084</v>
      </c>
      <c r="DFO14" s="137" t="s">
        <v>3085</v>
      </c>
      <c r="DFP14" s="137" t="s">
        <v>3086</v>
      </c>
      <c r="DFQ14" s="137" t="s">
        <v>3087</v>
      </c>
      <c r="DFR14" s="137" t="s">
        <v>3088</v>
      </c>
      <c r="DFS14" s="137" t="s">
        <v>3089</v>
      </c>
      <c r="DFT14" s="137" t="s">
        <v>3090</v>
      </c>
      <c r="DFU14" s="137" t="s">
        <v>3091</v>
      </c>
      <c r="DFV14" s="137" t="s">
        <v>3092</v>
      </c>
      <c r="DFW14" s="137" t="s">
        <v>3093</v>
      </c>
      <c r="DFX14" s="137" t="s">
        <v>3094</v>
      </c>
      <c r="DFY14" s="137" t="s">
        <v>3095</v>
      </c>
      <c r="DFZ14" s="137" t="s">
        <v>3096</v>
      </c>
      <c r="DGA14" s="137" t="s">
        <v>3097</v>
      </c>
      <c r="DGB14" s="137" t="s">
        <v>3098</v>
      </c>
      <c r="DGC14" s="137" t="s">
        <v>3099</v>
      </c>
      <c r="DGD14" s="137" t="s">
        <v>3100</v>
      </c>
      <c r="DGE14" s="137" t="s">
        <v>3101</v>
      </c>
      <c r="DGF14" s="137" t="s">
        <v>3102</v>
      </c>
      <c r="DGG14" s="137" t="s">
        <v>3103</v>
      </c>
      <c r="DGH14" s="137" t="s">
        <v>3104</v>
      </c>
      <c r="DGI14" s="137" t="s">
        <v>3105</v>
      </c>
      <c r="DGJ14" s="137" t="s">
        <v>3106</v>
      </c>
      <c r="DGK14" s="137" t="s">
        <v>3107</v>
      </c>
      <c r="DGL14" s="137" t="s">
        <v>3108</v>
      </c>
      <c r="DGM14" s="137" t="s">
        <v>3109</v>
      </c>
      <c r="DGN14" s="137" t="s">
        <v>3110</v>
      </c>
      <c r="DGO14" s="137" t="s">
        <v>3111</v>
      </c>
      <c r="DGP14" s="137" t="s">
        <v>3112</v>
      </c>
      <c r="DGQ14" s="137" t="s">
        <v>3113</v>
      </c>
      <c r="DGR14" s="137" t="s">
        <v>3114</v>
      </c>
      <c r="DGS14" s="137" t="s">
        <v>3115</v>
      </c>
      <c r="DGT14" s="137" t="s">
        <v>3116</v>
      </c>
      <c r="DGU14" s="137" t="s">
        <v>3117</v>
      </c>
      <c r="DGV14" s="137" t="s">
        <v>3118</v>
      </c>
      <c r="DGW14" s="137" t="s">
        <v>3119</v>
      </c>
      <c r="DGX14" s="137" t="s">
        <v>3120</v>
      </c>
      <c r="DGY14" s="137" t="s">
        <v>3121</v>
      </c>
      <c r="DGZ14" s="137" t="s">
        <v>3122</v>
      </c>
      <c r="DHA14" s="137" t="s">
        <v>3123</v>
      </c>
      <c r="DHB14" s="137" t="s">
        <v>3124</v>
      </c>
      <c r="DHC14" s="137" t="s">
        <v>3125</v>
      </c>
      <c r="DHD14" s="137" t="s">
        <v>3126</v>
      </c>
      <c r="DHE14" s="137" t="s">
        <v>3127</v>
      </c>
      <c r="DHF14" s="137" t="s">
        <v>3128</v>
      </c>
      <c r="DHG14" s="137" t="s">
        <v>3129</v>
      </c>
      <c r="DHH14" s="137" t="s">
        <v>3130</v>
      </c>
      <c r="DHI14" s="137" t="s">
        <v>3131</v>
      </c>
      <c r="DHJ14" s="137" t="s">
        <v>3132</v>
      </c>
      <c r="DHK14" s="137" t="s">
        <v>3133</v>
      </c>
      <c r="DHL14" s="137" t="s">
        <v>3134</v>
      </c>
      <c r="DHM14" s="137" t="s">
        <v>3135</v>
      </c>
      <c r="DHN14" s="137" t="s">
        <v>3136</v>
      </c>
      <c r="DHO14" s="137" t="s">
        <v>3137</v>
      </c>
      <c r="DHP14" s="137" t="s">
        <v>3138</v>
      </c>
      <c r="DHQ14" s="137" t="s">
        <v>3139</v>
      </c>
      <c r="DHR14" s="137" t="s">
        <v>3140</v>
      </c>
      <c r="DHS14" s="137" t="s">
        <v>3141</v>
      </c>
      <c r="DHT14" s="137" t="s">
        <v>3142</v>
      </c>
      <c r="DHU14" s="137" t="s">
        <v>3143</v>
      </c>
      <c r="DHV14" s="137" t="s">
        <v>3144</v>
      </c>
      <c r="DHW14" s="137" t="s">
        <v>3145</v>
      </c>
      <c r="DHX14" s="137" t="s">
        <v>3146</v>
      </c>
      <c r="DHY14" s="137" t="s">
        <v>3147</v>
      </c>
      <c r="DHZ14" s="137" t="s">
        <v>3148</v>
      </c>
      <c r="DIA14" s="137" t="s">
        <v>3149</v>
      </c>
      <c r="DIB14" s="137" t="s">
        <v>3150</v>
      </c>
      <c r="DIC14" s="137" t="s">
        <v>3151</v>
      </c>
      <c r="DID14" s="137" t="s">
        <v>3152</v>
      </c>
      <c r="DIE14" s="137" t="s">
        <v>3153</v>
      </c>
      <c r="DIF14" s="137" t="s">
        <v>3154</v>
      </c>
      <c r="DIG14" s="137" t="s">
        <v>3155</v>
      </c>
      <c r="DIH14" s="137" t="s">
        <v>3156</v>
      </c>
      <c r="DII14" s="137" t="s">
        <v>3157</v>
      </c>
      <c r="DIJ14" s="137" t="s">
        <v>3158</v>
      </c>
      <c r="DIK14" s="137" t="s">
        <v>3159</v>
      </c>
      <c r="DIL14" s="137" t="s">
        <v>3160</v>
      </c>
      <c r="DIM14" s="137" t="s">
        <v>3161</v>
      </c>
      <c r="DIN14" s="137" t="s">
        <v>3162</v>
      </c>
      <c r="DIO14" s="137" t="s">
        <v>3163</v>
      </c>
      <c r="DIP14" s="137" t="s">
        <v>3164</v>
      </c>
      <c r="DIQ14" s="137" t="s">
        <v>3165</v>
      </c>
      <c r="DIR14" s="137" t="s">
        <v>3166</v>
      </c>
      <c r="DIS14" s="137" t="s">
        <v>3167</v>
      </c>
      <c r="DIT14" s="137" t="s">
        <v>3168</v>
      </c>
      <c r="DIU14" s="137" t="s">
        <v>3169</v>
      </c>
      <c r="DIV14" s="137" t="s">
        <v>3170</v>
      </c>
      <c r="DIW14" s="137" t="s">
        <v>3171</v>
      </c>
      <c r="DIX14" s="137" t="s">
        <v>3172</v>
      </c>
      <c r="DIY14" s="137" t="s">
        <v>3173</v>
      </c>
      <c r="DIZ14" s="137" t="s">
        <v>3174</v>
      </c>
      <c r="DJA14" s="137" t="s">
        <v>3175</v>
      </c>
      <c r="DJB14" s="137" t="s">
        <v>3176</v>
      </c>
      <c r="DJC14" s="137" t="s">
        <v>3177</v>
      </c>
      <c r="DJD14" s="137" t="s">
        <v>3178</v>
      </c>
      <c r="DJE14" s="137" t="s">
        <v>3179</v>
      </c>
      <c r="DJF14" s="137" t="s">
        <v>3180</v>
      </c>
      <c r="DJG14" s="137" t="s">
        <v>3181</v>
      </c>
      <c r="DJH14" s="137" t="s">
        <v>3182</v>
      </c>
      <c r="DJI14" s="137" t="s">
        <v>3183</v>
      </c>
      <c r="DJJ14" s="137" t="s">
        <v>3184</v>
      </c>
      <c r="DJK14" s="137" t="s">
        <v>3185</v>
      </c>
      <c r="DJL14" s="137" t="s">
        <v>3186</v>
      </c>
      <c r="DJM14" s="137" t="s">
        <v>3187</v>
      </c>
      <c r="DJN14" s="137" t="s">
        <v>3188</v>
      </c>
      <c r="DJO14" s="137" t="s">
        <v>3189</v>
      </c>
      <c r="DJP14" s="137" t="s">
        <v>3190</v>
      </c>
      <c r="DJQ14" s="137" t="s">
        <v>3191</v>
      </c>
      <c r="DJR14" s="137" t="s">
        <v>3192</v>
      </c>
      <c r="DJS14" s="137" t="s">
        <v>3193</v>
      </c>
      <c r="DJT14" s="137" t="s">
        <v>3194</v>
      </c>
      <c r="DJU14" s="137" t="s">
        <v>3195</v>
      </c>
      <c r="DJV14" s="137" t="s">
        <v>3196</v>
      </c>
      <c r="DJW14" s="137" t="s">
        <v>3197</v>
      </c>
      <c r="DJX14" s="137" t="s">
        <v>3198</v>
      </c>
      <c r="DJY14" s="137" t="s">
        <v>3199</v>
      </c>
      <c r="DJZ14" s="137" t="s">
        <v>3200</v>
      </c>
      <c r="DKA14" s="137" t="s">
        <v>3201</v>
      </c>
      <c r="DKB14" s="137" t="s">
        <v>3202</v>
      </c>
      <c r="DKC14" s="137" t="s">
        <v>3203</v>
      </c>
      <c r="DKD14" s="137" t="s">
        <v>3204</v>
      </c>
      <c r="DKE14" s="137" t="s">
        <v>3205</v>
      </c>
      <c r="DKF14" s="137" t="s">
        <v>3206</v>
      </c>
      <c r="DKG14" s="137" t="s">
        <v>3207</v>
      </c>
      <c r="DKH14" s="137" t="s">
        <v>3208</v>
      </c>
      <c r="DKI14" s="137" t="s">
        <v>3209</v>
      </c>
      <c r="DKJ14" s="137" t="s">
        <v>3210</v>
      </c>
      <c r="DKK14" s="137" t="s">
        <v>3211</v>
      </c>
      <c r="DKL14" s="137" t="s">
        <v>3212</v>
      </c>
      <c r="DKM14" s="137" t="s">
        <v>3213</v>
      </c>
      <c r="DKN14" s="137" t="s">
        <v>3214</v>
      </c>
      <c r="DKO14" s="137" t="s">
        <v>3215</v>
      </c>
      <c r="DKP14" s="137" t="s">
        <v>3216</v>
      </c>
      <c r="DKQ14" s="137" t="s">
        <v>3217</v>
      </c>
      <c r="DKR14" s="137" t="s">
        <v>3218</v>
      </c>
      <c r="DKS14" s="137" t="s">
        <v>3219</v>
      </c>
      <c r="DKT14" s="137" t="s">
        <v>3220</v>
      </c>
      <c r="DKU14" s="137" t="s">
        <v>3221</v>
      </c>
      <c r="DKV14" s="137" t="s">
        <v>3222</v>
      </c>
      <c r="DKW14" s="137" t="s">
        <v>3223</v>
      </c>
      <c r="DKX14" s="137" t="s">
        <v>3224</v>
      </c>
      <c r="DKY14" s="137" t="s">
        <v>3225</v>
      </c>
      <c r="DKZ14" s="137" t="s">
        <v>3226</v>
      </c>
      <c r="DLA14" s="137" t="s">
        <v>3227</v>
      </c>
      <c r="DLB14" s="137" t="s">
        <v>3228</v>
      </c>
      <c r="DLC14" s="137" t="s">
        <v>3229</v>
      </c>
      <c r="DLD14" s="137" t="s">
        <v>3230</v>
      </c>
      <c r="DLE14" s="137" t="s">
        <v>3231</v>
      </c>
      <c r="DLF14" s="137" t="s">
        <v>3232</v>
      </c>
      <c r="DLG14" s="137" t="s">
        <v>3233</v>
      </c>
      <c r="DLH14" s="137" t="s">
        <v>3234</v>
      </c>
      <c r="DLI14" s="137" t="s">
        <v>3235</v>
      </c>
      <c r="DLJ14" s="137" t="s">
        <v>3236</v>
      </c>
      <c r="DLK14" s="137" t="s">
        <v>3237</v>
      </c>
      <c r="DLL14" s="137" t="s">
        <v>3238</v>
      </c>
      <c r="DLM14" s="137" t="s">
        <v>3239</v>
      </c>
      <c r="DLN14" s="137" t="s">
        <v>3240</v>
      </c>
      <c r="DLO14" s="137" t="s">
        <v>3241</v>
      </c>
      <c r="DLP14" s="137" t="s">
        <v>3242</v>
      </c>
      <c r="DLQ14" s="137" t="s">
        <v>3243</v>
      </c>
      <c r="DLR14" s="137" t="s">
        <v>3244</v>
      </c>
      <c r="DLS14" s="137" t="s">
        <v>3245</v>
      </c>
      <c r="DLT14" s="137" t="s">
        <v>3246</v>
      </c>
      <c r="DLU14" s="137" t="s">
        <v>3247</v>
      </c>
      <c r="DLV14" s="137" t="s">
        <v>3248</v>
      </c>
      <c r="DLW14" s="137" t="s">
        <v>3249</v>
      </c>
      <c r="DLX14" s="137" t="s">
        <v>3250</v>
      </c>
      <c r="DLY14" s="137" t="s">
        <v>3251</v>
      </c>
      <c r="DLZ14" s="137" t="s">
        <v>3252</v>
      </c>
      <c r="DMA14" s="137" t="s">
        <v>3253</v>
      </c>
      <c r="DMB14" s="137" t="s">
        <v>3254</v>
      </c>
      <c r="DMC14" s="137" t="s">
        <v>3255</v>
      </c>
      <c r="DMD14" s="137" t="s">
        <v>3256</v>
      </c>
      <c r="DME14" s="137" t="s">
        <v>3257</v>
      </c>
      <c r="DMF14" s="137" t="s">
        <v>3258</v>
      </c>
      <c r="DMG14" s="137" t="s">
        <v>3259</v>
      </c>
      <c r="DMH14" s="137" t="s">
        <v>3260</v>
      </c>
      <c r="DMI14" s="137" t="s">
        <v>3261</v>
      </c>
      <c r="DMJ14" s="137" t="s">
        <v>3262</v>
      </c>
      <c r="DMK14" s="137" t="s">
        <v>3263</v>
      </c>
      <c r="DML14" s="137" t="s">
        <v>3264</v>
      </c>
      <c r="DMM14" s="137" t="s">
        <v>3265</v>
      </c>
      <c r="DMN14" s="137" t="s">
        <v>3266</v>
      </c>
      <c r="DMO14" s="137" t="s">
        <v>3267</v>
      </c>
      <c r="DMP14" s="137" t="s">
        <v>3268</v>
      </c>
      <c r="DMQ14" s="137" t="s">
        <v>3269</v>
      </c>
      <c r="DMR14" s="137" t="s">
        <v>3270</v>
      </c>
      <c r="DMS14" s="137" t="s">
        <v>3271</v>
      </c>
      <c r="DMT14" s="137" t="s">
        <v>3272</v>
      </c>
      <c r="DMU14" s="137" t="s">
        <v>3273</v>
      </c>
      <c r="DMV14" s="137" t="s">
        <v>3274</v>
      </c>
      <c r="DMW14" s="137" t="s">
        <v>3275</v>
      </c>
      <c r="DMX14" s="137" t="s">
        <v>3276</v>
      </c>
      <c r="DMY14" s="137" t="s">
        <v>3277</v>
      </c>
      <c r="DMZ14" s="137" t="s">
        <v>3278</v>
      </c>
      <c r="DNA14" s="137" t="s">
        <v>3279</v>
      </c>
      <c r="DNB14" s="137" t="s">
        <v>3280</v>
      </c>
      <c r="DNC14" s="137" t="s">
        <v>3281</v>
      </c>
      <c r="DND14" s="137" t="s">
        <v>3282</v>
      </c>
      <c r="DNE14" s="137" t="s">
        <v>3283</v>
      </c>
      <c r="DNF14" s="137" t="s">
        <v>3284</v>
      </c>
      <c r="DNG14" s="137" t="s">
        <v>3285</v>
      </c>
      <c r="DNH14" s="137" t="s">
        <v>3286</v>
      </c>
      <c r="DNI14" s="137" t="s">
        <v>3287</v>
      </c>
      <c r="DNJ14" s="137" t="s">
        <v>3288</v>
      </c>
      <c r="DNK14" s="137" t="s">
        <v>3289</v>
      </c>
      <c r="DNL14" s="137" t="s">
        <v>3290</v>
      </c>
      <c r="DNM14" s="137" t="s">
        <v>3291</v>
      </c>
      <c r="DNN14" s="137" t="s">
        <v>3292</v>
      </c>
      <c r="DNO14" s="137" t="s">
        <v>3293</v>
      </c>
      <c r="DNP14" s="137" t="s">
        <v>3294</v>
      </c>
      <c r="DNQ14" s="137" t="s">
        <v>3295</v>
      </c>
      <c r="DNR14" s="137" t="s">
        <v>3296</v>
      </c>
      <c r="DNS14" s="137" t="s">
        <v>3297</v>
      </c>
      <c r="DNT14" s="137" t="s">
        <v>3298</v>
      </c>
      <c r="DNU14" s="137" t="s">
        <v>3299</v>
      </c>
      <c r="DNV14" s="137" t="s">
        <v>3300</v>
      </c>
      <c r="DNW14" s="137" t="s">
        <v>3301</v>
      </c>
      <c r="DNX14" s="137" t="s">
        <v>3302</v>
      </c>
      <c r="DNY14" s="137" t="s">
        <v>3303</v>
      </c>
      <c r="DNZ14" s="137" t="s">
        <v>3304</v>
      </c>
      <c r="DOA14" s="137" t="s">
        <v>3305</v>
      </c>
      <c r="DOB14" s="137" t="s">
        <v>3306</v>
      </c>
      <c r="DOC14" s="137" t="s">
        <v>3307</v>
      </c>
      <c r="DOD14" s="137" t="s">
        <v>3308</v>
      </c>
      <c r="DOE14" s="137" t="s">
        <v>3309</v>
      </c>
      <c r="DOF14" s="137" t="s">
        <v>3310</v>
      </c>
      <c r="DOG14" s="137" t="s">
        <v>3311</v>
      </c>
      <c r="DOH14" s="137" t="s">
        <v>3312</v>
      </c>
      <c r="DOI14" s="137" t="s">
        <v>3313</v>
      </c>
      <c r="DOJ14" s="137" t="s">
        <v>3314</v>
      </c>
      <c r="DOK14" s="137" t="s">
        <v>3315</v>
      </c>
      <c r="DOL14" s="137" t="s">
        <v>3316</v>
      </c>
      <c r="DOM14" s="137" t="s">
        <v>3317</v>
      </c>
      <c r="DON14" s="137" t="s">
        <v>3318</v>
      </c>
      <c r="DOO14" s="137" t="s">
        <v>3319</v>
      </c>
      <c r="DOP14" s="137" t="s">
        <v>3320</v>
      </c>
      <c r="DOQ14" s="137" t="s">
        <v>3321</v>
      </c>
      <c r="DOR14" s="137" t="s">
        <v>3322</v>
      </c>
      <c r="DOS14" s="137" t="s">
        <v>3323</v>
      </c>
      <c r="DOT14" s="137" t="s">
        <v>3324</v>
      </c>
      <c r="DOU14" s="137" t="s">
        <v>3325</v>
      </c>
      <c r="DOV14" s="137" t="s">
        <v>3326</v>
      </c>
      <c r="DOW14" s="137" t="s">
        <v>3327</v>
      </c>
      <c r="DOX14" s="137" t="s">
        <v>3328</v>
      </c>
      <c r="DOY14" s="137" t="s">
        <v>3329</v>
      </c>
      <c r="DOZ14" s="137" t="s">
        <v>3330</v>
      </c>
      <c r="DPA14" s="137" t="s">
        <v>3331</v>
      </c>
      <c r="DPB14" s="137" t="s">
        <v>3332</v>
      </c>
      <c r="DPC14" s="137" t="s">
        <v>3333</v>
      </c>
      <c r="DPD14" s="137" t="s">
        <v>3334</v>
      </c>
      <c r="DPE14" s="137" t="s">
        <v>3335</v>
      </c>
      <c r="DPF14" s="137" t="s">
        <v>3336</v>
      </c>
      <c r="DPG14" s="137" t="s">
        <v>3337</v>
      </c>
      <c r="DPH14" s="137" t="s">
        <v>3338</v>
      </c>
      <c r="DPI14" s="137" t="s">
        <v>3339</v>
      </c>
      <c r="DPJ14" s="137" t="s">
        <v>3340</v>
      </c>
      <c r="DPK14" s="137" t="s">
        <v>3341</v>
      </c>
      <c r="DPL14" s="137" t="s">
        <v>3342</v>
      </c>
      <c r="DPM14" s="137" t="s">
        <v>3343</v>
      </c>
      <c r="DPN14" s="137" t="s">
        <v>3344</v>
      </c>
      <c r="DPO14" s="137" t="s">
        <v>3345</v>
      </c>
      <c r="DPP14" s="137" t="s">
        <v>3346</v>
      </c>
      <c r="DPQ14" s="137" t="s">
        <v>3347</v>
      </c>
      <c r="DPR14" s="137" t="s">
        <v>3348</v>
      </c>
      <c r="DPS14" s="137" t="s">
        <v>3349</v>
      </c>
      <c r="DPT14" s="137" t="s">
        <v>3350</v>
      </c>
      <c r="DPU14" s="137" t="s">
        <v>3351</v>
      </c>
      <c r="DPV14" s="137" t="s">
        <v>3352</v>
      </c>
      <c r="DPW14" s="137" t="s">
        <v>3353</v>
      </c>
      <c r="DPX14" s="137" t="s">
        <v>3354</v>
      </c>
      <c r="DPY14" s="137" t="s">
        <v>3355</v>
      </c>
      <c r="DPZ14" s="137" t="s">
        <v>3356</v>
      </c>
      <c r="DQA14" s="137" t="s">
        <v>3357</v>
      </c>
      <c r="DQB14" s="137" t="s">
        <v>3358</v>
      </c>
      <c r="DQC14" s="137" t="s">
        <v>3359</v>
      </c>
      <c r="DQD14" s="137" t="s">
        <v>3360</v>
      </c>
      <c r="DQE14" s="137" t="s">
        <v>3361</v>
      </c>
      <c r="DQF14" s="137" t="s">
        <v>3362</v>
      </c>
      <c r="DQG14" s="137" t="s">
        <v>3363</v>
      </c>
      <c r="DQH14" s="137" t="s">
        <v>3364</v>
      </c>
      <c r="DQI14" s="137" t="s">
        <v>3365</v>
      </c>
      <c r="DQJ14" s="137" t="s">
        <v>3366</v>
      </c>
      <c r="DQK14" s="137" t="s">
        <v>3367</v>
      </c>
      <c r="DQL14" s="137" t="s">
        <v>3368</v>
      </c>
      <c r="DQM14" s="137" t="s">
        <v>3369</v>
      </c>
      <c r="DQN14" s="137" t="s">
        <v>3370</v>
      </c>
      <c r="DQO14" s="137" t="s">
        <v>3371</v>
      </c>
      <c r="DQP14" s="137" t="s">
        <v>3372</v>
      </c>
      <c r="DQQ14" s="137" t="s">
        <v>3373</v>
      </c>
      <c r="DQR14" s="137" t="s">
        <v>3374</v>
      </c>
      <c r="DQS14" s="137" t="s">
        <v>3375</v>
      </c>
      <c r="DQT14" s="137" t="s">
        <v>3376</v>
      </c>
      <c r="DQU14" s="137" t="s">
        <v>3377</v>
      </c>
      <c r="DQV14" s="137" t="s">
        <v>3378</v>
      </c>
      <c r="DQW14" s="137" t="s">
        <v>3379</v>
      </c>
      <c r="DQX14" s="137" t="s">
        <v>3380</v>
      </c>
      <c r="DQY14" s="137" t="s">
        <v>3381</v>
      </c>
      <c r="DQZ14" s="137" t="s">
        <v>3382</v>
      </c>
      <c r="DRA14" s="137" t="s">
        <v>3383</v>
      </c>
      <c r="DRB14" s="137" t="s">
        <v>3384</v>
      </c>
      <c r="DRC14" s="137" t="s">
        <v>3385</v>
      </c>
      <c r="DRD14" s="137" t="s">
        <v>3386</v>
      </c>
      <c r="DRE14" s="137" t="s">
        <v>3387</v>
      </c>
      <c r="DRF14" s="137" t="s">
        <v>3388</v>
      </c>
      <c r="DRG14" s="137" t="s">
        <v>3389</v>
      </c>
      <c r="DRH14" s="137" t="s">
        <v>3390</v>
      </c>
      <c r="DRI14" s="137" t="s">
        <v>3391</v>
      </c>
      <c r="DRJ14" s="137" t="s">
        <v>3392</v>
      </c>
      <c r="DRK14" s="137" t="s">
        <v>3393</v>
      </c>
      <c r="DRL14" s="137" t="s">
        <v>3394</v>
      </c>
      <c r="DRM14" s="137" t="s">
        <v>3395</v>
      </c>
      <c r="DRN14" s="137" t="s">
        <v>3396</v>
      </c>
      <c r="DRO14" s="137" t="s">
        <v>3397</v>
      </c>
      <c r="DRP14" s="137" t="s">
        <v>3398</v>
      </c>
      <c r="DRQ14" s="137" t="s">
        <v>3399</v>
      </c>
      <c r="DRR14" s="137" t="s">
        <v>3400</v>
      </c>
      <c r="DRS14" s="137" t="s">
        <v>3401</v>
      </c>
      <c r="DRT14" s="137" t="s">
        <v>3402</v>
      </c>
      <c r="DRU14" s="137" t="s">
        <v>3403</v>
      </c>
      <c r="DRV14" s="137" t="s">
        <v>3404</v>
      </c>
      <c r="DRW14" s="137" t="s">
        <v>3405</v>
      </c>
      <c r="DRX14" s="137" t="s">
        <v>3406</v>
      </c>
      <c r="DRY14" s="137" t="s">
        <v>3407</v>
      </c>
      <c r="DRZ14" s="137" t="s">
        <v>3408</v>
      </c>
      <c r="DSA14" s="137" t="s">
        <v>3409</v>
      </c>
      <c r="DSB14" s="137" t="s">
        <v>3410</v>
      </c>
      <c r="DSC14" s="137" t="s">
        <v>3411</v>
      </c>
      <c r="DSD14" s="137" t="s">
        <v>3412</v>
      </c>
      <c r="DSE14" s="137" t="s">
        <v>3413</v>
      </c>
      <c r="DSF14" s="137" t="s">
        <v>3414</v>
      </c>
      <c r="DSG14" s="137" t="s">
        <v>3415</v>
      </c>
      <c r="DSH14" s="137" t="s">
        <v>3416</v>
      </c>
      <c r="DSI14" s="137" t="s">
        <v>3417</v>
      </c>
      <c r="DSJ14" s="137" t="s">
        <v>3418</v>
      </c>
      <c r="DSK14" s="137" t="s">
        <v>3419</v>
      </c>
      <c r="DSL14" s="137" t="s">
        <v>3420</v>
      </c>
      <c r="DSM14" s="137" t="s">
        <v>3421</v>
      </c>
      <c r="DSN14" s="137" t="s">
        <v>3422</v>
      </c>
      <c r="DSO14" s="137" t="s">
        <v>3423</v>
      </c>
      <c r="DSP14" s="137" t="s">
        <v>3424</v>
      </c>
      <c r="DSQ14" s="137" t="s">
        <v>3425</v>
      </c>
      <c r="DSR14" s="137" t="s">
        <v>3426</v>
      </c>
      <c r="DSS14" s="137" t="s">
        <v>3427</v>
      </c>
      <c r="DST14" s="137" t="s">
        <v>3428</v>
      </c>
      <c r="DSU14" s="137" t="s">
        <v>3429</v>
      </c>
      <c r="DSV14" s="137" t="s">
        <v>3430</v>
      </c>
      <c r="DSW14" s="137" t="s">
        <v>3431</v>
      </c>
      <c r="DSX14" s="137" t="s">
        <v>3432</v>
      </c>
      <c r="DSY14" s="137" t="s">
        <v>3433</v>
      </c>
      <c r="DSZ14" s="137" t="s">
        <v>3434</v>
      </c>
      <c r="DTA14" s="137" t="s">
        <v>3435</v>
      </c>
      <c r="DTB14" s="137" t="s">
        <v>3436</v>
      </c>
      <c r="DTC14" s="137" t="s">
        <v>3437</v>
      </c>
      <c r="DTD14" s="137" t="s">
        <v>3438</v>
      </c>
      <c r="DTE14" s="137" t="s">
        <v>3439</v>
      </c>
      <c r="DTF14" s="137" t="s">
        <v>3440</v>
      </c>
      <c r="DTG14" s="137" t="s">
        <v>3441</v>
      </c>
      <c r="DTH14" s="137" t="s">
        <v>3442</v>
      </c>
      <c r="DTI14" s="137" t="s">
        <v>3443</v>
      </c>
      <c r="DTJ14" s="137" t="s">
        <v>3444</v>
      </c>
      <c r="DTK14" s="137" t="s">
        <v>3445</v>
      </c>
      <c r="DTL14" s="137" t="s">
        <v>3446</v>
      </c>
      <c r="DTM14" s="137" t="s">
        <v>3447</v>
      </c>
      <c r="DTN14" s="137" t="s">
        <v>3448</v>
      </c>
      <c r="DTO14" s="137" t="s">
        <v>3449</v>
      </c>
      <c r="DTP14" s="137" t="s">
        <v>3450</v>
      </c>
      <c r="DTQ14" s="137" t="s">
        <v>3451</v>
      </c>
      <c r="DTR14" s="137" t="s">
        <v>3452</v>
      </c>
      <c r="DTS14" s="137" t="s">
        <v>3453</v>
      </c>
      <c r="DTT14" s="137" t="s">
        <v>3454</v>
      </c>
      <c r="DTU14" s="137" t="s">
        <v>3455</v>
      </c>
      <c r="DTV14" s="137" t="s">
        <v>3456</v>
      </c>
      <c r="DTW14" s="137" t="s">
        <v>3457</v>
      </c>
      <c r="DTX14" s="137" t="s">
        <v>3458</v>
      </c>
      <c r="DTY14" s="137" t="s">
        <v>3459</v>
      </c>
      <c r="DTZ14" s="137" t="s">
        <v>3460</v>
      </c>
      <c r="DUA14" s="137" t="s">
        <v>3461</v>
      </c>
      <c r="DUB14" s="137" t="s">
        <v>3462</v>
      </c>
      <c r="DUC14" s="137" t="s">
        <v>3463</v>
      </c>
      <c r="DUD14" s="137" t="s">
        <v>3464</v>
      </c>
      <c r="DUE14" s="137" t="s">
        <v>3465</v>
      </c>
      <c r="DUF14" s="137" t="s">
        <v>3466</v>
      </c>
      <c r="DUG14" s="137" t="s">
        <v>3467</v>
      </c>
      <c r="DUH14" s="137" t="s">
        <v>3468</v>
      </c>
      <c r="DUI14" s="137" t="s">
        <v>3469</v>
      </c>
      <c r="DUJ14" s="137" t="s">
        <v>3470</v>
      </c>
      <c r="DUK14" s="137" t="s">
        <v>3471</v>
      </c>
      <c r="DUL14" s="137" t="s">
        <v>3472</v>
      </c>
      <c r="DUM14" s="137" t="s">
        <v>3473</v>
      </c>
      <c r="DUN14" s="137" t="s">
        <v>3474</v>
      </c>
      <c r="DUO14" s="137" t="s">
        <v>3475</v>
      </c>
      <c r="DUP14" s="137" t="s">
        <v>3476</v>
      </c>
      <c r="DUQ14" s="137" t="s">
        <v>3477</v>
      </c>
      <c r="DUR14" s="137" t="s">
        <v>3478</v>
      </c>
      <c r="DUS14" s="137" t="s">
        <v>3479</v>
      </c>
      <c r="DUT14" s="137" t="s">
        <v>3480</v>
      </c>
      <c r="DUU14" s="137" t="s">
        <v>3481</v>
      </c>
      <c r="DUV14" s="137" t="s">
        <v>3482</v>
      </c>
      <c r="DUW14" s="137" t="s">
        <v>3483</v>
      </c>
      <c r="DUX14" s="137" t="s">
        <v>3484</v>
      </c>
      <c r="DUY14" s="137" t="s">
        <v>3485</v>
      </c>
      <c r="DUZ14" s="137" t="s">
        <v>3486</v>
      </c>
      <c r="DVA14" s="137" t="s">
        <v>3487</v>
      </c>
      <c r="DVB14" s="137" t="s">
        <v>3488</v>
      </c>
      <c r="DVC14" s="137" t="s">
        <v>3489</v>
      </c>
      <c r="DVD14" s="137" t="s">
        <v>3490</v>
      </c>
      <c r="DVE14" s="137" t="s">
        <v>3491</v>
      </c>
      <c r="DVF14" s="137" t="s">
        <v>3492</v>
      </c>
      <c r="DVG14" s="137" t="s">
        <v>3493</v>
      </c>
      <c r="DVH14" s="137" t="s">
        <v>3494</v>
      </c>
      <c r="DVI14" s="137" t="s">
        <v>3495</v>
      </c>
      <c r="DVJ14" s="137" t="s">
        <v>3496</v>
      </c>
      <c r="DVK14" s="137" t="s">
        <v>3497</v>
      </c>
      <c r="DVL14" s="137" t="s">
        <v>3498</v>
      </c>
      <c r="DVM14" s="137" t="s">
        <v>3499</v>
      </c>
      <c r="DVN14" s="137" t="s">
        <v>3500</v>
      </c>
      <c r="DVO14" s="137" t="s">
        <v>3501</v>
      </c>
      <c r="DVP14" s="137" t="s">
        <v>3502</v>
      </c>
      <c r="DVQ14" s="137" t="s">
        <v>3503</v>
      </c>
      <c r="DVR14" s="137" t="s">
        <v>3504</v>
      </c>
      <c r="DVS14" s="137" t="s">
        <v>3505</v>
      </c>
      <c r="DVT14" s="137" t="s">
        <v>3506</v>
      </c>
      <c r="DVU14" s="137" t="s">
        <v>3507</v>
      </c>
      <c r="DVV14" s="137" t="s">
        <v>3508</v>
      </c>
      <c r="DVW14" s="137" t="s">
        <v>3509</v>
      </c>
      <c r="DVX14" s="137" t="s">
        <v>3510</v>
      </c>
      <c r="DVY14" s="137" t="s">
        <v>3511</v>
      </c>
      <c r="DVZ14" s="137" t="s">
        <v>3512</v>
      </c>
      <c r="DWA14" s="137" t="s">
        <v>3513</v>
      </c>
      <c r="DWB14" s="137" t="s">
        <v>3514</v>
      </c>
      <c r="DWC14" s="137" t="s">
        <v>3515</v>
      </c>
      <c r="DWD14" s="137" t="s">
        <v>3516</v>
      </c>
      <c r="DWE14" s="137" t="s">
        <v>3517</v>
      </c>
      <c r="DWF14" s="137" t="s">
        <v>3518</v>
      </c>
      <c r="DWG14" s="137" t="s">
        <v>3519</v>
      </c>
      <c r="DWH14" s="137" t="s">
        <v>3520</v>
      </c>
      <c r="DWI14" s="137" t="s">
        <v>3521</v>
      </c>
      <c r="DWJ14" s="137" t="s">
        <v>3522</v>
      </c>
      <c r="DWK14" s="137" t="s">
        <v>3523</v>
      </c>
      <c r="DWL14" s="137" t="s">
        <v>3524</v>
      </c>
      <c r="DWM14" s="137" t="s">
        <v>3525</v>
      </c>
      <c r="DWN14" s="137" t="s">
        <v>3526</v>
      </c>
      <c r="DWO14" s="137" t="s">
        <v>3527</v>
      </c>
      <c r="DWP14" s="137" t="s">
        <v>3528</v>
      </c>
      <c r="DWQ14" s="137" t="s">
        <v>3529</v>
      </c>
      <c r="DWR14" s="137" t="s">
        <v>3530</v>
      </c>
      <c r="DWS14" s="137" t="s">
        <v>3531</v>
      </c>
      <c r="DWT14" s="137" t="s">
        <v>3532</v>
      </c>
      <c r="DWU14" s="137" t="s">
        <v>3533</v>
      </c>
      <c r="DWV14" s="137" t="s">
        <v>3534</v>
      </c>
      <c r="DWW14" s="137" t="s">
        <v>3535</v>
      </c>
      <c r="DWX14" s="137" t="s">
        <v>3536</v>
      </c>
      <c r="DWY14" s="137" t="s">
        <v>3537</v>
      </c>
      <c r="DWZ14" s="137" t="s">
        <v>3538</v>
      </c>
      <c r="DXA14" s="137" t="s">
        <v>3539</v>
      </c>
      <c r="DXB14" s="137" t="s">
        <v>3540</v>
      </c>
      <c r="DXC14" s="137" t="s">
        <v>3541</v>
      </c>
      <c r="DXD14" s="137" t="s">
        <v>3542</v>
      </c>
      <c r="DXE14" s="137" t="s">
        <v>3543</v>
      </c>
      <c r="DXF14" s="137" t="s">
        <v>3544</v>
      </c>
      <c r="DXG14" s="137" t="s">
        <v>3545</v>
      </c>
      <c r="DXH14" s="137" t="s">
        <v>3546</v>
      </c>
      <c r="DXI14" s="137" t="s">
        <v>3547</v>
      </c>
      <c r="DXJ14" s="137" t="s">
        <v>3548</v>
      </c>
      <c r="DXK14" s="137" t="s">
        <v>3549</v>
      </c>
      <c r="DXL14" s="137" t="s">
        <v>3550</v>
      </c>
      <c r="DXM14" s="137" t="s">
        <v>3551</v>
      </c>
      <c r="DXN14" s="137" t="s">
        <v>3552</v>
      </c>
      <c r="DXO14" s="137" t="s">
        <v>3553</v>
      </c>
      <c r="DXP14" s="137" t="s">
        <v>3554</v>
      </c>
      <c r="DXQ14" s="137" t="s">
        <v>3555</v>
      </c>
      <c r="DXR14" s="137" t="s">
        <v>3556</v>
      </c>
      <c r="DXS14" s="137" t="s">
        <v>3557</v>
      </c>
      <c r="DXT14" s="137" t="s">
        <v>3558</v>
      </c>
      <c r="DXU14" s="137" t="s">
        <v>3559</v>
      </c>
      <c r="DXV14" s="137" t="s">
        <v>3560</v>
      </c>
      <c r="DXW14" s="137" t="s">
        <v>3561</v>
      </c>
      <c r="DXX14" s="137" t="s">
        <v>3562</v>
      </c>
      <c r="DXY14" s="137" t="s">
        <v>3563</v>
      </c>
      <c r="DXZ14" s="137" t="s">
        <v>3564</v>
      </c>
      <c r="DYA14" s="137" t="s">
        <v>3565</v>
      </c>
      <c r="DYB14" s="137" t="s">
        <v>3566</v>
      </c>
      <c r="DYC14" s="137" t="s">
        <v>3567</v>
      </c>
      <c r="DYD14" s="137" t="s">
        <v>3568</v>
      </c>
      <c r="DYE14" s="137" t="s">
        <v>3569</v>
      </c>
      <c r="DYF14" s="137" t="s">
        <v>3570</v>
      </c>
      <c r="DYG14" s="137" t="s">
        <v>3571</v>
      </c>
      <c r="DYH14" s="137" t="s">
        <v>3572</v>
      </c>
      <c r="DYI14" s="137" t="s">
        <v>3573</v>
      </c>
      <c r="DYJ14" s="137" t="s">
        <v>3574</v>
      </c>
      <c r="DYK14" s="137" t="s">
        <v>3575</v>
      </c>
      <c r="DYL14" s="137" t="s">
        <v>3576</v>
      </c>
      <c r="DYM14" s="137" t="s">
        <v>3577</v>
      </c>
      <c r="DYN14" s="137" t="s">
        <v>3578</v>
      </c>
      <c r="DYO14" s="137" t="s">
        <v>3579</v>
      </c>
      <c r="DYP14" s="137" t="s">
        <v>3580</v>
      </c>
      <c r="DYQ14" s="137" t="s">
        <v>3581</v>
      </c>
      <c r="DYR14" s="137" t="s">
        <v>3582</v>
      </c>
      <c r="DYS14" s="137" t="s">
        <v>3583</v>
      </c>
      <c r="DYT14" s="137" t="s">
        <v>3584</v>
      </c>
      <c r="DYU14" s="137" t="s">
        <v>3585</v>
      </c>
      <c r="DYV14" s="137" t="s">
        <v>3586</v>
      </c>
      <c r="DYW14" s="137" t="s">
        <v>3587</v>
      </c>
      <c r="DYX14" s="137" t="s">
        <v>3588</v>
      </c>
      <c r="DYY14" s="137" t="s">
        <v>3589</v>
      </c>
      <c r="DYZ14" s="137" t="s">
        <v>3590</v>
      </c>
      <c r="DZA14" s="137" t="s">
        <v>3591</v>
      </c>
      <c r="DZB14" s="137" t="s">
        <v>3592</v>
      </c>
      <c r="DZC14" s="137" t="s">
        <v>3593</v>
      </c>
      <c r="DZD14" s="137" t="s">
        <v>3594</v>
      </c>
      <c r="DZE14" s="137" t="s">
        <v>3595</v>
      </c>
      <c r="DZF14" s="137" t="s">
        <v>3596</v>
      </c>
      <c r="DZG14" s="137" t="s">
        <v>3597</v>
      </c>
      <c r="DZH14" s="137" t="s">
        <v>3598</v>
      </c>
      <c r="DZI14" s="137" t="s">
        <v>3599</v>
      </c>
      <c r="DZJ14" s="137" t="s">
        <v>3600</v>
      </c>
      <c r="DZK14" s="137" t="s">
        <v>3601</v>
      </c>
      <c r="DZL14" s="137" t="s">
        <v>3602</v>
      </c>
      <c r="DZM14" s="137" t="s">
        <v>3603</v>
      </c>
      <c r="DZN14" s="137" t="s">
        <v>3604</v>
      </c>
      <c r="DZO14" s="137" t="s">
        <v>3605</v>
      </c>
      <c r="DZP14" s="137" t="s">
        <v>3606</v>
      </c>
      <c r="DZQ14" s="137" t="s">
        <v>3607</v>
      </c>
      <c r="DZR14" s="137" t="s">
        <v>3608</v>
      </c>
      <c r="DZS14" s="137" t="s">
        <v>3609</v>
      </c>
      <c r="DZT14" s="137" t="s">
        <v>3610</v>
      </c>
      <c r="DZU14" s="137" t="s">
        <v>3611</v>
      </c>
      <c r="DZV14" s="137" t="s">
        <v>3612</v>
      </c>
      <c r="DZW14" s="137" t="s">
        <v>3613</v>
      </c>
      <c r="DZX14" s="137" t="s">
        <v>3614</v>
      </c>
      <c r="DZY14" s="137" t="s">
        <v>3615</v>
      </c>
      <c r="DZZ14" s="137" t="s">
        <v>3616</v>
      </c>
      <c r="EAA14" s="137" t="s">
        <v>3617</v>
      </c>
      <c r="EAB14" s="137" t="s">
        <v>3618</v>
      </c>
      <c r="EAC14" s="137" t="s">
        <v>3619</v>
      </c>
      <c r="EAD14" s="137" t="s">
        <v>3620</v>
      </c>
      <c r="EAE14" s="137" t="s">
        <v>3621</v>
      </c>
      <c r="EAF14" s="137" t="s">
        <v>3622</v>
      </c>
      <c r="EAG14" s="137" t="s">
        <v>3623</v>
      </c>
      <c r="EAH14" s="137" t="s">
        <v>3624</v>
      </c>
      <c r="EAI14" s="137" t="s">
        <v>3625</v>
      </c>
      <c r="EAJ14" s="137" t="s">
        <v>3626</v>
      </c>
      <c r="EAK14" s="137" t="s">
        <v>3627</v>
      </c>
      <c r="EAL14" s="137" t="s">
        <v>3628</v>
      </c>
      <c r="EAM14" s="137" t="s">
        <v>3629</v>
      </c>
      <c r="EAN14" s="137" t="s">
        <v>3630</v>
      </c>
      <c r="EAO14" s="137" t="s">
        <v>3631</v>
      </c>
      <c r="EAP14" s="137" t="s">
        <v>3632</v>
      </c>
      <c r="EAQ14" s="137" t="s">
        <v>3633</v>
      </c>
      <c r="EAR14" s="137" t="s">
        <v>3634</v>
      </c>
      <c r="EAS14" s="137" t="s">
        <v>3635</v>
      </c>
      <c r="EAT14" s="137" t="s">
        <v>3636</v>
      </c>
      <c r="EAU14" s="137" t="s">
        <v>3637</v>
      </c>
      <c r="EAV14" s="137" t="s">
        <v>3638</v>
      </c>
      <c r="EAW14" s="137" t="s">
        <v>3639</v>
      </c>
      <c r="EAX14" s="137" t="s">
        <v>3640</v>
      </c>
      <c r="EAY14" s="137" t="s">
        <v>3641</v>
      </c>
      <c r="EAZ14" s="137" t="s">
        <v>3642</v>
      </c>
      <c r="EBA14" s="137" t="s">
        <v>3643</v>
      </c>
      <c r="EBB14" s="137" t="s">
        <v>3644</v>
      </c>
      <c r="EBC14" s="137" t="s">
        <v>3645</v>
      </c>
      <c r="EBD14" s="137" t="s">
        <v>3646</v>
      </c>
      <c r="EBE14" s="137" t="s">
        <v>3647</v>
      </c>
      <c r="EBF14" s="137" t="s">
        <v>3648</v>
      </c>
      <c r="EBG14" s="137" t="s">
        <v>3649</v>
      </c>
      <c r="EBH14" s="137" t="s">
        <v>3650</v>
      </c>
      <c r="EBI14" s="137" t="s">
        <v>3651</v>
      </c>
      <c r="EBJ14" s="137" t="s">
        <v>3652</v>
      </c>
      <c r="EBK14" s="137" t="s">
        <v>3653</v>
      </c>
      <c r="EBL14" s="137" t="s">
        <v>3654</v>
      </c>
      <c r="EBM14" s="137" t="s">
        <v>3655</v>
      </c>
      <c r="EBN14" s="137" t="s">
        <v>3656</v>
      </c>
      <c r="EBO14" s="137" t="s">
        <v>3657</v>
      </c>
      <c r="EBP14" s="137" t="s">
        <v>3658</v>
      </c>
      <c r="EBQ14" s="137" t="s">
        <v>3659</v>
      </c>
      <c r="EBR14" s="137" t="s">
        <v>3660</v>
      </c>
      <c r="EBS14" s="137" t="s">
        <v>3661</v>
      </c>
      <c r="EBT14" s="137" t="s">
        <v>3662</v>
      </c>
      <c r="EBU14" s="137" t="s">
        <v>3663</v>
      </c>
      <c r="EBV14" s="137" t="s">
        <v>3664</v>
      </c>
      <c r="EBW14" s="137" t="s">
        <v>3665</v>
      </c>
      <c r="EBX14" s="137" t="s">
        <v>3666</v>
      </c>
      <c r="EBY14" s="137" t="s">
        <v>3667</v>
      </c>
      <c r="EBZ14" s="137" t="s">
        <v>3668</v>
      </c>
      <c r="ECA14" s="137" t="s">
        <v>3669</v>
      </c>
      <c r="ECB14" s="137" t="s">
        <v>3670</v>
      </c>
      <c r="ECC14" s="137" t="s">
        <v>3671</v>
      </c>
      <c r="ECD14" s="137" t="s">
        <v>3672</v>
      </c>
      <c r="ECE14" s="137" t="s">
        <v>3673</v>
      </c>
      <c r="ECF14" s="137" t="s">
        <v>3674</v>
      </c>
      <c r="ECG14" s="137" t="s">
        <v>3675</v>
      </c>
      <c r="ECH14" s="137" t="s">
        <v>3676</v>
      </c>
      <c r="ECI14" s="137" t="s">
        <v>3677</v>
      </c>
      <c r="ECJ14" s="137" t="s">
        <v>3678</v>
      </c>
      <c r="ECK14" s="137" t="s">
        <v>3679</v>
      </c>
      <c r="ECL14" s="137" t="s">
        <v>3680</v>
      </c>
      <c r="ECM14" s="137" t="s">
        <v>3681</v>
      </c>
      <c r="ECN14" s="137" t="s">
        <v>3682</v>
      </c>
      <c r="ECO14" s="137" t="s">
        <v>3683</v>
      </c>
      <c r="ECP14" s="137" t="s">
        <v>3684</v>
      </c>
      <c r="ECQ14" s="137" t="s">
        <v>3685</v>
      </c>
      <c r="ECR14" s="137" t="s">
        <v>3686</v>
      </c>
      <c r="ECS14" s="137" t="s">
        <v>3687</v>
      </c>
      <c r="ECT14" s="137" t="s">
        <v>3688</v>
      </c>
      <c r="ECU14" s="137" t="s">
        <v>3689</v>
      </c>
      <c r="ECV14" s="137" t="s">
        <v>3690</v>
      </c>
      <c r="ECW14" s="137" t="s">
        <v>3691</v>
      </c>
      <c r="ECX14" s="137" t="s">
        <v>3692</v>
      </c>
      <c r="ECY14" s="137" t="s">
        <v>3693</v>
      </c>
      <c r="ECZ14" s="137" t="s">
        <v>3694</v>
      </c>
      <c r="EDA14" s="137" t="s">
        <v>3695</v>
      </c>
      <c r="EDB14" s="137" t="s">
        <v>3696</v>
      </c>
      <c r="EDC14" s="137" t="s">
        <v>3697</v>
      </c>
      <c r="EDD14" s="137" t="s">
        <v>3698</v>
      </c>
      <c r="EDE14" s="137" t="s">
        <v>3699</v>
      </c>
      <c r="EDF14" s="137" t="s">
        <v>3700</v>
      </c>
      <c r="EDG14" s="137" t="s">
        <v>3701</v>
      </c>
      <c r="EDH14" s="137" t="s">
        <v>3702</v>
      </c>
      <c r="EDI14" s="137" t="s">
        <v>3703</v>
      </c>
      <c r="EDJ14" s="137" t="s">
        <v>3704</v>
      </c>
      <c r="EDK14" s="137" t="s">
        <v>3705</v>
      </c>
      <c r="EDL14" s="137" t="s">
        <v>3706</v>
      </c>
      <c r="EDM14" s="137" t="s">
        <v>3707</v>
      </c>
      <c r="EDN14" s="137" t="s">
        <v>3708</v>
      </c>
      <c r="EDO14" s="137" t="s">
        <v>3709</v>
      </c>
      <c r="EDP14" s="137" t="s">
        <v>3710</v>
      </c>
      <c r="EDQ14" s="137" t="s">
        <v>3711</v>
      </c>
      <c r="EDR14" s="137" t="s">
        <v>3712</v>
      </c>
      <c r="EDS14" s="137" t="s">
        <v>3713</v>
      </c>
      <c r="EDT14" s="137" t="s">
        <v>3714</v>
      </c>
      <c r="EDU14" s="137" t="s">
        <v>3715</v>
      </c>
      <c r="EDV14" s="137" t="s">
        <v>3716</v>
      </c>
      <c r="EDW14" s="137" t="s">
        <v>3717</v>
      </c>
      <c r="EDX14" s="137" t="s">
        <v>3718</v>
      </c>
      <c r="EDY14" s="137" t="s">
        <v>3719</v>
      </c>
      <c r="EDZ14" s="137" t="s">
        <v>3720</v>
      </c>
      <c r="EEA14" s="137" t="s">
        <v>3721</v>
      </c>
      <c r="EEB14" s="137" t="s">
        <v>3722</v>
      </c>
      <c r="EEC14" s="137" t="s">
        <v>3723</v>
      </c>
      <c r="EED14" s="137" t="s">
        <v>3724</v>
      </c>
      <c r="EEE14" s="137" t="s">
        <v>3725</v>
      </c>
      <c r="EEF14" s="137" t="s">
        <v>3726</v>
      </c>
      <c r="EEG14" s="137" t="s">
        <v>3727</v>
      </c>
      <c r="EEH14" s="137" t="s">
        <v>3728</v>
      </c>
      <c r="EEI14" s="137" t="s">
        <v>3729</v>
      </c>
      <c r="EEJ14" s="137" t="s">
        <v>3730</v>
      </c>
      <c r="EEK14" s="137" t="s">
        <v>3731</v>
      </c>
      <c r="EEL14" s="137" t="s">
        <v>3732</v>
      </c>
      <c r="EEM14" s="137" t="s">
        <v>3733</v>
      </c>
      <c r="EEN14" s="137" t="s">
        <v>3734</v>
      </c>
      <c r="EEO14" s="137" t="s">
        <v>3735</v>
      </c>
      <c r="EEP14" s="137" t="s">
        <v>3736</v>
      </c>
      <c r="EEQ14" s="137" t="s">
        <v>3737</v>
      </c>
      <c r="EER14" s="137" t="s">
        <v>3738</v>
      </c>
      <c r="EES14" s="137" t="s">
        <v>3739</v>
      </c>
      <c r="EET14" s="137" t="s">
        <v>3740</v>
      </c>
      <c r="EEU14" s="137" t="s">
        <v>3741</v>
      </c>
      <c r="EEV14" s="137" t="s">
        <v>3742</v>
      </c>
      <c r="EEW14" s="137" t="s">
        <v>3743</v>
      </c>
      <c r="EEX14" s="137" t="s">
        <v>3744</v>
      </c>
      <c r="EEY14" s="137" t="s">
        <v>3745</v>
      </c>
      <c r="EEZ14" s="137" t="s">
        <v>3746</v>
      </c>
      <c r="EFA14" s="137" t="s">
        <v>3747</v>
      </c>
      <c r="EFB14" s="137" t="s">
        <v>3748</v>
      </c>
      <c r="EFC14" s="137" t="s">
        <v>3749</v>
      </c>
      <c r="EFD14" s="137" t="s">
        <v>3750</v>
      </c>
      <c r="EFE14" s="137" t="s">
        <v>3751</v>
      </c>
      <c r="EFF14" s="137" t="s">
        <v>3752</v>
      </c>
      <c r="EFG14" s="137" t="s">
        <v>3753</v>
      </c>
      <c r="EFH14" s="137" t="s">
        <v>3754</v>
      </c>
      <c r="EFI14" s="137" t="s">
        <v>3755</v>
      </c>
      <c r="EFJ14" s="137" t="s">
        <v>3756</v>
      </c>
      <c r="EFK14" s="137" t="s">
        <v>3757</v>
      </c>
      <c r="EFL14" s="137" t="s">
        <v>3758</v>
      </c>
      <c r="EFM14" s="137" t="s">
        <v>3759</v>
      </c>
      <c r="EFN14" s="137" t="s">
        <v>3760</v>
      </c>
      <c r="EFO14" s="137" t="s">
        <v>3761</v>
      </c>
      <c r="EFP14" s="137" t="s">
        <v>3762</v>
      </c>
      <c r="EFQ14" s="137" t="s">
        <v>3763</v>
      </c>
      <c r="EFR14" s="137" t="s">
        <v>3764</v>
      </c>
      <c r="EFS14" s="137" t="s">
        <v>3765</v>
      </c>
      <c r="EFT14" s="137" t="s">
        <v>3766</v>
      </c>
      <c r="EFU14" s="137" t="s">
        <v>3767</v>
      </c>
      <c r="EFV14" s="137" t="s">
        <v>3768</v>
      </c>
      <c r="EFW14" s="137" t="s">
        <v>3769</v>
      </c>
      <c r="EFX14" s="137" t="s">
        <v>3770</v>
      </c>
      <c r="EFY14" s="137" t="s">
        <v>3771</v>
      </c>
      <c r="EFZ14" s="137" t="s">
        <v>3772</v>
      </c>
      <c r="EGA14" s="137" t="s">
        <v>3773</v>
      </c>
      <c r="EGB14" s="137" t="s">
        <v>3774</v>
      </c>
      <c r="EGC14" s="137" t="s">
        <v>3775</v>
      </c>
      <c r="EGD14" s="137" t="s">
        <v>3776</v>
      </c>
      <c r="EGE14" s="137" t="s">
        <v>3777</v>
      </c>
      <c r="EGF14" s="137" t="s">
        <v>3778</v>
      </c>
      <c r="EGG14" s="137" t="s">
        <v>3779</v>
      </c>
      <c r="EGH14" s="137" t="s">
        <v>3780</v>
      </c>
      <c r="EGI14" s="137" t="s">
        <v>3781</v>
      </c>
      <c r="EGJ14" s="137" t="s">
        <v>3782</v>
      </c>
      <c r="EGK14" s="137" t="s">
        <v>3783</v>
      </c>
      <c r="EGL14" s="137" t="s">
        <v>3784</v>
      </c>
      <c r="EGM14" s="137" t="s">
        <v>3785</v>
      </c>
      <c r="EGN14" s="137" t="s">
        <v>3786</v>
      </c>
      <c r="EGO14" s="137" t="s">
        <v>3787</v>
      </c>
      <c r="EGP14" s="137" t="s">
        <v>3788</v>
      </c>
      <c r="EGQ14" s="137" t="s">
        <v>3789</v>
      </c>
      <c r="EGR14" s="137" t="s">
        <v>3790</v>
      </c>
      <c r="EGS14" s="137" t="s">
        <v>3791</v>
      </c>
      <c r="EGT14" s="137" t="s">
        <v>3792</v>
      </c>
      <c r="EGU14" s="137" t="s">
        <v>3793</v>
      </c>
      <c r="EGV14" s="137" t="s">
        <v>3794</v>
      </c>
      <c r="EGW14" s="137" t="s">
        <v>3795</v>
      </c>
      <c r="EGX14" s="137" t="s">
        <v>3796</v>
      </c>
      <c r="EGY14" s="137" t="s">
        <v>3797</v>
      </c>
      <c r="EGZ14" s="137" t="s">
        <v>3798</v>
      </c>
      <c r="EHA14" s="137" t="s">
        <v>3799</v>
      </c>
      <c r="EHB14" s="137" t="s">
        <v>3800</v>
      </c>
      <c r="EHC14" s="137" t="s">
        <v>3801</v>
      </c>
      <c r="EHD14" s="137" t="s">
        <v>3802</v>
      </c>
      <c r="EHE14" s="137" t="s">
        <v>3803</v>
      </c>
      <c r="EHF14" s="137" t="s">
        <v>3804</v>
      </c>
      <c r="EHG14" s="137" t="s">
        <v>3805</v>
      </c>
      <c r="EHH14" s="137" t="s">
        <v>3806</v>
      </c>
      <c r="EHI14" s="137" t="s">
        <v>3807</v>
      </c>
      <c r="EHJ14" s="137" t="s">
        <v>3808</v>
      </c>
      <c r="EHK14" s="137" t="s">
        <v>3809</v>
      </c>
      <c r="EHL14" s="137" t="s">
        <v>3810</v>
      </c>
      <c r="EHM14" s="137" t="s">
        <v>3811</v>
      </c>
      <c r="EHN14" s="137" t="s">
        <v>3812</v>
      </c>
      <c r="EHO14" s="137" t="s">
        <v>3813</v>
      </c>
      <c r="EHP14" s="137" t="s">
        <v>3814</v>
      </c>
      <c r="EHQ14" s="137" t="s">
        <v>3815</v>
      </c>
      <c r="EHR14" s="137" t="s">
        <v>3816</v>
      </c>
      <c r="EHS14" s="137" t="s">
        <v>3817</v>
      </c>
      <c r="EHT14" s="137" t="s">
        <v>3818</v>
      </c>
      <c r="EHU14" s="137" t="s">
        <v>3819</v>
      </c>
      <c r="EHV14" s="137" t="s">
        <v>3820</v>
      </c>
      <c r="EHW14" s="137" t="s">
        <v>3821</v>
      </c>
      <c r="EHX14" s="137" t="s">
        <v>3822</v>
      </c>
      <c r="EHY14" s="137" t="s">
        <v>3823</v>
      </c>
      <c r="EHZ14" s="137" t="s">
        <v>3824</v>
      </c>
      <c r="EIA14" s="137" t="s">
        <v>3825</v>
      </c>
      <c r="EIB14" s="137" t="s">
        <v>3826</v>
      </c>
      <c r="EIC14" s="137" t="s">
        <v>3827</v>
      </c>
      <c r="EID14" s="137" t="s">
        <v>3828</v>
      </c>
      <c r="EIE14" s="137" t="s">
        <v>3829</v>
      </c>
      <c r="EIF14" s="137" t="s">
        <v>3830</v>
      </c>
      <c r="EIG14" s="137" t="s">
        <v>3831</v>
      </c>
      <c r="EIH14" s="137" t="s">
        <v>3832</v>
      </c>
      <c r="EII14" s="137" t="s">
        <v>3833</v>
      </c>
      <c r="EIJ14" s="137" t="s">
        <v>3834</v>
      </c>
      <c r="EIK14" s="137" t="s">
        <v>3835</v>
      </c>
      <c r="EIL14" s="137" t="s">
        <v>3836</v>
      </c>
      <c r="EIM14" s="137" t="s">
        <v>3837</v>
      </c>
      <c r="EIN14" s="137" t="s">
        <v>3838</v>
      </c>
      <c r="EIO14" s="137" t="s">
        <v>3839</v>
      </c>
      <c r="EIP14" s="137" t="s">
        <v>3840</v>
      </c>
      <c r="EIQ14" s="137" t="s">
        <v>3841</v>
      </c>
      <c r="EIR14" s="137" t="s">
        <v>3842</v>
      </c>
      <c r="EIS14" s="137" t="s">
        <v>3843</v>
      </c>
      <c r="EIT14" s="137" t="s">
        <v>3844</v>
      </c>
      <c r="EIU14" s="137" t="s">
        <v>3845</v>
      </c>
      <c r="EIV14" s="137" t="s">
        <v>3846</v>
      </c>
      <c r="EIW14" s="137" t="s">
        <v>3847</v>
      </c>
      <c r="EIX14" s="137" t="s">
        <v>3848</v>
      </c>
      <c r="EIY14" s="137" t="s">
        <v>3849</v>
      </c>
      <c r="EIZ14" s="137" t="s">
        <v>3850</v>
      </c>
      <c r="EJA14" s="137" t="s">
        <v>3851</v>
      </c>
      <c r="EJB14" s="137" t="s">
        <v>3852</v>
      </c>
      <c r="EJC14" s="137" t="s">
        <v>3853</v>
      </c>
      <c r="EJD14" s="137" t="s">
        <v>3854</v>
      </c>
      <c r="EJE14" s="137" t="s">
        <v>3855</v>
      </c>
      <c r="EJF14" s="137" t="s">
        <v>3856</v>
      </c>
      <c r="EJG14" s="137" t="s">
        <v>3857</v>
      </c>
      <c r="EJH14" s="137" t="s">
        <v>3858</v>
      </c>
      <c r="EJI14" s="137" t="s">
        <v>3859</v>
      </c>
      <c r="EJJ14" s="137" t="s">
        <v>3860</v>
      </c>
      <c r="EJK14" s="137" t="s">
        <v>3861</v>
      </c>
      <c r="EJL14" s="137" t="s">
        <v>3862</v>
      </c>
      <c r="EJM14" s="137" t="s">
        <v>3863</v>
      </c>
      <c r="EJN14" s="137" t="s">
        <v>3864</v>
      </c>
      <c r="EJO14" s="137" t="s">
        <v>3865</v>
      </c>
      <c r="EJP14" s="137" t="s">
        <v>3866</v>
      </c>
      <c r="EJQ14" s="137" t="s">
        <v>3867</v>
      </c>
      <c r="EJR14" s="137" t="s">
        <v>3868</v>
      </c>
      <c r="EJS14" s="137" t="s">
        <v>3869</v>
      </c>
      <c r="EJT14" s="137" t="s">
        <v>3870</v>
      </c>
      <c r="EJU14" s="137" t="s">
        <v>3871</v>
      </c>
      <c r="EJV14" s="137" t="s">
        <v>3872</v>
      </c>
      <c r="EJW14" s="137" t="s">
        <v>3873</v>
      </c>
      <c r="EJX14" s="137" t="s">
        <v>3874</v>
      </c>
      <c r="EJY14" s="137" t="s">
        <v>3875</v>
      </c>
      <c r="EJZ14" s="137" t="s">
        <v>3876</v>
      </c>
      <c r="EKA14" s="137" t="s">
        <v>3877</v>
      </c>
      <c r="EKB14" s="137" t="s">
        <v>3878</v>
      </c>
      <c r="EKC14" s="137" t="s">
        <v>3879</v>
      </c>
      <c r="EKD14" s="137" t="s">
        <v>3880</v>
      </c>
      <c r="EKE14" s="137" t="s">
        <v>3881</v>
      </c>
      <c r="EKF14" s="137" t="s">
        <v>3882</v>
      </c>
      <c r="EKG14" s="137" t="s">
        <v>3883</v>
      </c>
      <c r="EKH14" s="137" t="s">
        <v>3884</v>
      </c>
      <c r="EKI14" s="137" t="s">
        <v>3885</v>
      </c>
      <c r="EKJ14" s="137" t="s">
        <v>3886</v>
      </c>
      <c r="EKK14" s="137" t="s">
        <v>3887</v>
      </c>
      <c r="EKL14" s="137" t="s">
        <v>3888</v>
      </c>
      <c r="EKM14" s="137" t="s">
        <v>3889</v>
      </c>
      <c r="EKN14" s="137" t="s">
        <v>3890</v>
      </c>
      <c r="EKO14" s="137" t="s">
        <v>3891</v>
      </c>
      <c r="EKP14" s="137" t="s">
        <v>3892</v>
      </c>
      <c r="EKQ14" s="137" t="s">
        <v>3893</v>
      </c>
      <c r="EKR14" s="137" t="s">
        <v>3894</v>
      </c>
      <c r="EKS14" s="137" t="s">
        <v>3895</v>
      </c>
      <c r="EKT14" s="137" t="s">
        <v>3896</v>
      </c>
      <c r="EKU14" s="137" t="s">
        <v>3897</v>
      </c>
      <c r="EKV14" s="137" t="s">
        <v>3898</v>
      </c>
      <c r="EKW14" s="137" t="s">
        <v>3899</v>
      </c>
      <c r="EKX14" s="137" t="s">
        <v>3900</v>
      </c>
      <c r="EKY14" s="137" t="s">
        <v>3901</v>
      </c>
      <c r="EKZ14" s="137" t="s">
        <v>3902</v>
      </c>
      <c r="ELA14" s="137" t="s">
        <v>3903</v>
      </c>
      <c r="ELB14" s="137" t="s">
        <v>3904</v>
      </c>
      <c r="ELC14" s="137" t="s">
        <v>3905</v>
      </c>
      <c r="ELD14" s="137" t="s">
        <v>3906</v>
      </c>
      <c r="ELE14" s="137" t="s">
        <v>3907</v>
      </c>
      <c r="ELF14" s="137" t="s">
        <v>3908</v>
      </c>
      <c r="ELG14" s="137" t="s">
        <v>3909</v>
      </c>
      <c r="ELH14" s="137" t="s">
        <v>3910</v>
      </c>
      <c r="ELI14" s="137" t="s">
        <v>3911</v>
      </c>
      <c r="ELJ14" s="137" t="s">
        <v>3912</v>
      </c>
      <c r="ELK14" s="137" t="s">
        <v>3913</v>
      </c>
      <c r="ELL14" s="137" t="s">
        <v>3914</v>
      </c>
      <c r="ELM14" s="137" t="s">
        <v>3915</v>
      </c>
      <c r="ELN14" s="137" t="s">
        <v>3916</v>
      </c>
      <c r="ELO14" s="137" t="s">
        <v>3917</v>
      </c>
      <c r="ELP14" s="137" t="s">
        <v>3918</v>
      </c>
      <c r="ELQ14" s="137" t="s">
        <v>3919</v>
      </c>
      <c r="ELR14" s="137" t="s">
        <v>3920</v>
      </c>
      <c r="ELS14" s="137" t="s">
        <v>3921</v>
      </c>
      <c r="ELT14" s="137" t="s">
        <v>3922</v>
      </c>
      <c r="ELU14" s="137" t="s">
        <v>3923</v>
      </c>
      <c r="ELV14" s="137" t="s">
        <v>3924</v>
      </c>
      <c r="ELW14" s="137" t="s">
        <v>3925</v>
      </c>
      <c r="ELX14" s="137" t="s">
        <v>3926</v>
      </c>
      <c r="ELY14" s="137" t="s">
        <v>3927</v>
      </c>
      <c r="ELZ14" s="137" t="s">
        <v>3928</v>
      </c>
      <c r="EMA14" s="137" t="s">
        <v>3929</v>
      </c>
      <c r="EMB14" s="137" t="s">
        <v>3930</v>
      </c>
      <c r="EMC14" s="137" t="s">
        <v>3931</v>
      </c>
      <c r="EMD14" s="137" t="s">
        <v>3932</v>
      </c>
      <c r="EME14" s="137" t="s">
        <v>3933</v>
      </c>
      <c r="EMF14" s="137" t="s">
        <v>3934</v>
      </c>
      <c r="EMG14" s="137" t="s">
        <v>3935</v>
      </c>
      <c r="EMH14" s="137" t="s">
        <v>3936</v>
      </c>
      <c r="EMI14" s="137" t="s">
        <v>3937</v>
      </c>
      <c r="EMJ14" s="137" t="s">
        <v>3938</v>
      </c>
      <c r="EMK14" s="137" t="s">
        <v>3939</v>
      </c>
      <c r="EML14" s="137" t="s">
        <v>3940</v>
      </c>
      <c r="EMM14" s="137" t="s">
        <v>3941</v>
      </c>
      <c r="EMN14" s="137" t="s">
        <v>3942</v>
      </c>
      <c r="EMO14" s="137" t="s">
        <v>3943</v>
      </c>
      <c r="EMP14" s="137" t="s">
        <v>3944</v>
      </c>
      <c r="EMQ14" s="137" t="s">
        <v>3945</v>
      </c>
      <c r="EMR14" s="137" t="s">
        <v>3946</v>
      </c>
      <c r="EMS14" s="137" t="s">
        <v>3947</v>
      </c>
      <c r="EMT14" s="137" t="s">
        <v>3948</v>
      </c>
      <c r="EMU14" s="137" t="s">
        <v>3949</v>
      </c>
      <c r="EMV14" s="137" t="s">
        <v>3950</v>
      </c>
      <c r="EMW14" s="137" t="s">
        <v>3951</v>
      </c>
      <c r="EMX14" s="137" t="s">
        <v>3952</v>
      </c>
      <c r="EMY14" s="137" t="s">
        <v>3953</v>
      </c>
      <c r="EMZ14" s="137" t="s">
        <v>3954</v>
      </c>
      <c r="ENA14" s="137" t="s">
        <v>3955</v>
      </c>
      <c r="ENB14" s="137" t="s">
        <v>3956</v>
      </c>
      <c r="ENC14" s="137" t="s">
        <v>3957</v>
      </c>
      <c r="END14" s="137" t="s">
        <v>3958</v>
      </c>
      <c r="ENE14" s="137" t="s">
        <v>3959</v>
      </c>
      <c r="ENF14" s="137" t="s">
        <v>3960</v>
      </c>
      <c r="ENG14" s="137" t="s">
        <v>3961</v>
      </c>
      <c r="ENH14" s="137" t="s">
        <v>3962</v>
      </c>
      <c r="ENI14" s="137" t="s">
        <v>3963</v>
      </c>
      <c r="ENJ14" s="137" t="s">
        <v>3964</v>
      </c>
      <c r="ENK14" s="137" t="s">
        <v>3965</v>
      </c>
      <c r="ENL14" s="137" t="s">
        <v>3966</v>
      </c>
      <c r="ENM14" s="137" t="s">
        <v>3967</v>
      </c>
      <c r="ENN14" s="137" t="s">
        <v>3968</v>
      </c>
      <c r="ENO14" s="137" t="s">
        <v>3969</v>
      </c>
      <c r="ENP14" s="137" t="s">
        <v>3970</v>
      </c>
      <c r="ENQ14" s="137" t="s">
        <v>3971</v>
      </c>
      <c r="ENR14" s="137" t="s">
        <v>3972</v>
      </c>
      <c r="ENS14" s="137" t="s">
        <v>3973</v>
      </c>
      <c r="ENT14" s="137" t="s">
        <v>3974</v>
      </c>
      <c r="ENU14" s="137" t="s">
        <v>3975</v>
      </c>
      <c r="ENV14" s="137" t="s">
        <v>3976</v>
      </c>
      <c r="ENW14" s="137" t="s">
        <v>3977</v>
      </c>
      <c r="ENX14" s="137" t="s">
        <v>3978</v>
      </c>
      <c r="ENY14" s="137" t="s">
        <v>3979</v>
      </c>
      <c r="ENZ14" s="137" t="s">
        <v>3980</v>
      </c>
      <c r="EOA14" s="137" t="s">
        <v>3981</v>
      </c>
      <c r="EOB14" s="137" t="s">
        <v>3982</v>
      </c>
      <c r="EOC14" s="137" t="s">
        <v>3983</v>
      </c>
      <c r="EOD14" s="137" t="s">
        <v>3984</v>
      </c>
      <c r="EOE14" s="137" t="s">
        <v>3985</v>
      </c>
      <c r="EOF14" s="137" t="s">
        <v>3986</v>
      </c>
      <c r="EOG14" s="137" t="s">
        <v>3987</v>
      </c>
      <c r="EOH14" s="137" t="s">
        <v>3988</v>
      </c>
      <c r="EOI14" s="137" t="s">
        <v>3989</v>
      </c>
      <c r="EOJ14" s="137" t="s">
        <v>3990</v>
      </c>
      <c r="EOK14" s="137" t="s">
        <v>3991</v>
      </c>
      <c r="EOL14" s="137" t="s">
        <v>3992</v>
      </c>
      <c r="EOM14" s="137" t="s">
        <v>3993</v>
      </c>
      <c r="EON14" s="137" t="s">
        <v>3994</v>
      </c>
      <c r="EOO14" s="137" t="s">
        <v>3995</v>
      </c>
      <c r="EOP14" s="137" t="s">
        <v>3996</v>
      </c>
      <c r="EOQ14" s="137" t="s">
        <v>3997</v>
      </c>
      <c r="EOR14" s="137" t="s">
        <v>3998</v>
      </c>
      <c r="EOS14" s="137" t="s">
        <v>3999</v>
      </c>
      <c r="EOT14" s="137" t="s">
        <v>4000</v>
      </c>
      <c r="EOU14" s="137" t="s">
        <v>4001</v>
      </c>
      <c r="EOV14" s="137" t="s">
        <v>4002</v>
      </c>
      <c r="EOW14" s="137" t="s">
        <v>4003</v>
      </c>
      <c r="EOX14" s="137" t="s">
        <v>4004</v>
      </c>
      <c r="EOY14" s="137" t="s">
        <v>4005</v>
      </c>
      <c r="EOZ14" s="137" t="s">
        <v>4006</v>
      </c>
      <c r="EPA14" s="137" t="s">
        <v>4007</v>
      </c>
      <c r="EPB14" s="137" t="s">
        <v>4008</v>
      </c>
      <c r="EPC14" s="137" t="s">
        <v>4009</v>
      </c>
      <c r="EPD14" s="137" t="s">
        <v>4010</v>
      </c>
      <c r="EPE14" s="137" t="s">
        <v>4011</v>
      </c>
      <c r="EPF14" s="137" t="s">
        <v>4012</v>
      </c>
      <c r="EPG14" s="137" t="s">
        <v>4013</v>
      </c>
      <c r="EPH14" s="137" t="s">
        <v>4014</v>
      </c>
      <c r="EPI14" s="137" t="s">
        <v>4015</v>
      </c>
      <c r="EPJ14" s="137" t="s">
        <v>4016</v>
      </c>
      <c r="EPK14" s="137" t="s">
        <v>4017</v>
      </c>
      <c r="EPL14" s="137" t="s">
        <v>4018</v>
      </c>
      <c r="EPM14" s="137" t="s">
        <v>4019</v>
      </c>
      <c r="EPN14" s="137" t="s">
        <v>4020</v>
      </c>
      <c r="EPO14" s="137" t="s">
        <v>4021</v>
      </c>
      <c r="EPP14" s="137" t="s">
        <v>4022</v>
      </c>
      <c r="EPQ14" s="137" t="s">
        <v>4023</v>
      </c>
      <c r="EPR14" s="137" t="s">
        <v>4024</v>
      </c>
      <c r="EPS14" s="137" t="s">
        <v>4025</v>
      </c>
      <c r="EPT14" s="137" t="s">
        <v>4026</v>
      </c>
      <c r="EPU14" s="137" t="s">
        <v>4027</v>
      </c>
      <c r="EPV14" s="137" t="s">
        <v>4028</v>
      </c>
      <c r="EPW14" s="137" t="s">
        <v>4029</v>
      </c>
      <c r="EPX14" s="137" t="s">
        <v>4030</v>
      </c>
      <c r="EPY14" s="137" t="s">
        <v>4031</v>
      </c>
      <c r="EPZ14" s="137" t="s">
        <v>4032</v>
      </c>
      <c r="EQA14" s="137" t="s">
        <v>4033</v>
      </c>
      <c r="EQB14" s="137" t="s">
        <v>4034</v>
      </c>
      <c r="EQC14" s="137" t="s">
        <v>4035</v>
      </c>
      <c r="EQD14" s="137" t="s">
        <v>4036</v>
      </c>
      <c r="EQE14" s="137" t="s">
        <v>4037</v>
      </c>
      <c r="EQF14" s="137" t="s">
        <v>4038</v>
      </c>
      <c r="EQG14" s="137" t="s">
        <v>4039</v>
      </c>
      <c r="EQH14" s="137" t="s">
        <v>4040</v>
      </c>
      <c r="EQI14" s="137" t="s">
        <v>4041</v>
      </c>
      <c r="EQJ14" s="137" t="s">
        <v>4042</v>
      </c>
      <c r="EQK14" s="137" t="s">
        <v>4043</v>
      </c>
      <c r="EQL14" s="137" t="s">
        <v>4044</v>
      </c>
      <c r="EQM14" s="137" t="s">
        <v>4045</v>
      </c>
      <c r="EQN14" s="137" t="s">
        <v>4046</v>
      </c>
      <c r="EQO14" s="137" t="s">
        <v>4047</v>
      </c>
      <c r="EQP14" s="137" t="s">
        <v>4048</v>
      </c>
      <c r="EQQ14" s="137" t="s">
        <v>4049</v>
      </c>
      <c r="EQR14" s="137" t="s">
        <v>4050</v>
      </c>
      <c r="EQS14" s="137" t="s">
        <v>4051</v>
      </c>
      <c r="EQT14" s="137" t="s">
        <v>4052</v>
      </c>
      <c r="EQU14" s="137" t="s">
        <v>4053</v>
      </c>
      <c r="EQV14" s="137" t="s">
        <v>4054</v>
      </c>
      <c r="EQW14" s="137" t="s">
        <v>4055</v>
      </c>
      <c r="EQX14" s="137" t="s">
        <v>4056</v>
      </c>
      <c r="EQY14" s="137" t="s">
        <v>4057</v>
      </c>
      <c r="EQZ14" s="137" t="s">
        <v>4058</v>
      </c>
      <c r="ERA14" s="137" t="s">
        <v>4059</v>
      </c>
      <c r="ERB14" s="137" t="s">
        <v>4060</v>
      </c>
      <c r="ERC14" s="137" t="s">
        <v>4061</v>
      </c>
      <c r="ERD14" s="137" t="s">
        <v>4062</v>
      </c>
      <c r="ERE14" s="137" t="s">
        <v>4063</v>
      </c>
      <c r="ERF14" s="137" t="s">
        <v>4064</v>
      </c>
      <c r="ERG14" s="137" t="s">
        <v>4065</v>
      </c>
      <c r="ERH14" s="137" t="s">
        <v>4066</v>
      </c>
      <c r="ERI14" s="137" t="s">
        <v>4067</v>
      </c>
      <c r="ERJ14" s="137" t="s">
        <v>4068</v>
      </c>
      <c r="ERK14" s="137" t="s">
        <v>4069</v>
      </c>
      <c r="ERL14" s="137" t="s">
        <v>4070</v>
      </c>
      <c r="ERM14" s="137" t="s">
        <v>4071</v>
      </c>
      <c r="ERN14" s="137" t="s">
        <v>4072</v>
      </c>
      <c r="ERO14" s="137" t="s">
        <v>4073</v>
      </c>
      <c r="ERP14" s="137" t="s">
        <v>4074</v>
      </c>
      <c r="ERQ14" s="137" t="s">
        <v>4075</v>
      </c>
      <c r="ERR14" s="137" t="s">
        <v>4076</v>
      </c>
      <c r="ERS14" s="137" t="s">
        <v>4077</v>
      </c>
      <c r="ERT14" s="137" t="s">
        <v>4078</v>
      </c>
      <c r="ERU14" s="137" t="s">
        <v>4079</v>
      </c>
      <c r="ERV14" s="137" t="s">
        <v>4080</v>
      </c>
      <c r="ERW14" s="137" t="s">
        <v>4081</v>
      </c>
      <c r="ERX14" s="137" t="s">
        <v>4082</v>
      </c>
      <c r="ERY14" s="137" t="s">
        <v>4083</v>
      </c>
      <c r="ERZ14" s="137" t="s">
        <v>4084</v>
      </c>
      <c r="ESA14" s="137" t="s">
        <v>4085</v>
      </c>
      <c r="ESB14" s="137" t="s">
        <v>4086</v>
      </c>
      <c r="ESC14" s="137" t="s">
        <v>4087</v>
      </c>
      <c r="ESD14" s="137" t="s">
        <v>4088</v>
      </c>
      <c r="ESE14" s="137" t="s">
        <v>4089</v>
      </c>
      <c r="ESF14" s="137" t="s">
        <v>4090</v>
      </c>
      <c r="ESG14" s="137" t="s">
        <v>4091</v>
      </c>
      <c r="ESH14" s="137" t="s">
        <v>4092</v>
      </c>
      <c r="ESI14" s="137" t="s">
        <v>4093</v>
      </c>
      <c r="ESJ14" s="137" t="s">
        <v>4094</v>
      </c>
      <c r="ESK14" s="137" t="s">
        <v>4095</v>
      </c>
      <c r="ESL14" s="137" t="s">
        <v>4096</v>
      </c>
      <c r="ESM14" s="137" t="s">
        <v>4097</v>
      </c>
      <c r="ESN14" s="137" t="s">
        <v>4098</v>
      </c>
      <c r="ESO14" s="137" t="s">
        <v>4099</v>
      </c>
      <c r="ESP14" s="137" t="s">
        <v>4100</v>
      </c>
      <c r="ESQ14" s="137" t="s">
        <v>4101</v>
      </c>
      <c r="ESR14" s="137" t="s">
        <v>4102</v>
      </c>
      <c r="ESS14" s="137" t="s">
        <v>4103</v>
      </c>
      <c r="EST14" s="137" t="s">
        <v>4104</v>
      </c>
      <c r="ESU14" s="137" t="s">
        <v>4105</v>
      </c>
      <c r="ESV14" s="137" t="s">
        <v>4106</v>
      </c>
      <c r="ESW14" s="137" t="s">
        <v>4107</v>
      </c>
      <c r="ESX14" s="137" t="s">
        <v>4108</v>
      </c>
      <c r="ESY14" s="137" t="s">
        <v>4109</v>
      </c>
      <c r="ESZ14" s="137" t="s">
        <v>4110</v>
      </c>
      <c r="ETA14" s="137" t="s">
        <v>4111</v>
      </c>
      <c r="ETB14" s="137" t="s">
        <v>4112</v>
      </c>
      <c r="ETC14" s="137" t="s">
        <v>4113</v>
      </c>
      <c r="ETD14" s="137" t="s">
        <v>4114</v>
      </c>
      <c r="ETE14" s="137" t="s">
        <v>4115</v>
      </c>
      <c r="ETF14" s="137" t="s">
        <v>4116</v>
      </c>
      <c r="ETG14" s="137" t="s">
        <v>4117</v>
      </c>
      <c r="ETH14" s="137" t="s">
        <v>4118</v>
      </c>
      <c r="ETI14" s="137" t="s">
        <v>4119</v>
      </c>
      <c r="ETJ14" s="137" t="s">
        <v>4120</v>
      </c>
      <c r="ETK14" s="137" t="s">
        <v>4121</v>
      </c>
      <c r="ETL14" s="137" t="s">
        <v>4122</v>
      </c>
      <c r="ETM14" s="137" t="s">
        <v>4123</v>
      </c>
      <c r="ETN14" s="137" t="s">
        <v>4124</v>
      </c>
      <c r="ETO14" s="137" t="s">
        <v>4125</v>
      </c>
      <c r="ETP14" s="137" t="s">
        <v>4126</v>
      </c>
      <c r="ETQ14" s="137" t="s">
        <v>4127</v>
      </c>
      <c r="ETR14" s="137" t="s">
        <v>4128</v>
      </c>
      <c r="ETS14" s="137" t="s">
        <v>4129</v>
      </c>
      <c r="ETT14" s="137" t="s">
        <v>4130</v>
      </c>
      <c r="ETU14" s="137" t="s">
        <v>4131</v>
      </c>
      <c r="ETV14" s="137" t="s">
        <v>4132</v>
      </c>
      <c r="ETW14" s="137" t="s">
        <v>4133</v>
      </c>
      <c r="ETX14" s="137" t="s">
        <v>4134</v>
      </c>
      <c r="ETY14" s="137" t="s">
        <v>4135</v>
      </c>
      <c r="ETZ14" s="137" t="s">
        <v>4136</v>
      </c>
      <c r="EUA14" s="137" t="s">
        <v>4137</v>
      </c>
      <c r="EUB14" s="137" t="s">
        <v>4138</v>
      </c>
      <c r="EUC14" s="137" t="s">
        <v>4139</v>
      </c>
      <c r="EUD14" s="137" t="s">
        <v>4140</v>
      </c>
      <c r="EUE14" s="137" t="s">
        <v>4141</v>
      </c>
      <c r="EUF14" s="137" t="s">
        <v>4142</v>
      </c>
      <c r="EUG14" s="137" t="s">
        <v>4143</v>
      </c>
      <c r="EUH14" s="137" t="s">
        <v>4144</v>
      </c>
      <c r="EUI14" s="137" t="s">
        <v>4145</v>
      </c>
      <c r="EUJ14" s="137" t="s">
        <v>4146</v>
      </c>
      <c r="EUK14" s="137" t="s">
        <v>4147</v>
      </c>
      <c r="EUL14" s="137" t="s">
        <v>4148</v>
      </c>
      <c r="EUM14" s="137" t="s">
        <v>4149</v>
      </c>
      <c r="EUN14" s="137" t="s">
        <v>4150</v>
      </c>
      <c r="EUO14" s="137" t="s">
        <v>4151</v>
      </c>
      <c r="EUP14" s="137" t="s">
        <v>4152</v>
      </c>
      <c r="EUQ14" s="137" t="s">
        <v>4153</v>
      </c>
      <c r="EUR14" s="137" t="s">
        <v>4154</v>
      </c>
      <c r="EUS14" s="137" t="s">
        <v>4155</v>
      </c>
      <c r="EUT14" s="137" t="s">
        <v>4156</v>
      </c>
      <c r="EUU14" s="137" t="s">
        <v>4157</v>
      </c>
      <c r="EUV14" s="137" t="s">
        <v>4158</v>
      </c>
      <c r="EUW14" s="137" t="s">
        <v>4159</v>
      </c>
      <c r="EUX14" s="137" t="s">
        <v>4160</v>
      </c>
      <c r="EUY14" s="137" t="s">
        <v>4161</v>
      </c>
      <c r="EUZ14" s="137" t="s">
        <v>4162</v>
      </c>
      <c r="EVA14" s="137" t="s">
        <v>4163</v>
      </c>
      <c r="EVB14" s="137" t="s">
        <v>4164</v>
      </c>
      <c r="EVC14" s="137" t="s">
        <v>4165</v>
      </c>
      <c r="EVD14" s="137" t="s">
        <v>4166</v>
      </c>
      <c r="EVE14" s="137" t="s">
        <v>4167</v>
      </c>
      <c r="EVF14" s="137" t="s">
        <v>4168</v>
      </c>
      <c r="EVG14" s="137" t="s">
        <v>4169</v>
      </c>
      <c r="EVH14" s="137" t="s">
        <v>4170</v>
      </c>
      <c r="EVI14" s="137" t="s">
        <v>4171</v>
      </c>
      <c r="EVJ14" s="137" t="s">
        <v>4172</v>
      </c>
      <c r="EVK14" s="137" t="s">
        <v>4173</v>
      </c>
      <c r="EVL14" s="137" t="s">
        <v>4174</v>
      </c>
      <c r="EVM14" s="137" t="s">
        <v>4175</v>
      </c>
      <c r="EVN14" s="137" t="s">
        <v>4176</v>
      </c>
      <c r="EVO14" s="137" t="s">
        <v>4177</v>
      </c>
      <c r="EVP14" s="137" t="s">
        <v>4178</v>
      </c>
      <c r="EVQ14" s="137" t="s">
        <v>4179</v>
      </c>
      <c r="EVR14" s="137" t="s">
        <v>4180</v>
      </c>
      <c r="EVS14" s="137" t="s">
        <v>4181</v>
      </c>
      <c r="EVT14" s="137" t="s">
        <v>4182</v>
      </c>
      <c r="EVU14" s="137" t="s">
        <v>4183</v>
      </c>
      <c r="EVV14" s="137" t="s">
        <v>4184</v>
      </c>
      <c r="EVW14" s="137" t="s">
        <v>4185</v>
      </c>
      <c r="EVX14" s="137" t="s">
        <v>4186</v>
      </c>
      <c r="EVY14" s="137" t="s">
        <v>4187</v>
      </c>
      <c r="EVZ14" s="137" t="s">
        <v>4188</v>
      </c>
      <c r="EWA14" s="137" t="s">
        <v>4189</v>
      </c>
      <c r="EWB14" s="137" t="s">
        <v>4190</v>
      </c>
      <c r="EWC14" s="137" t="s">
        <v>4191</v>
      </c>
      <c r="EWD14" s="137" t="s">
        <v>4192</v>
      </c>
      <c r="EWE14" s="137" t="s">
        <v>4193</v>
      </c>
      <c r="EWF14" s="137" t="s">
        <v>4194</v>
      </c>
      <c r="EWG14" s="137" t="s">
        <v>4195</v>
      </c>
      <c r="EWH14" s="137" t="s">
        <v>4196</v>
      </c>
      <c r="EWI14" s="137" t="s">
        <v>4197</v>
      </c>
      <c r="EWJ14" s="137" t="s">
        <v>4198</v>
      </c>
      <c r="EWK14" s="137" t="s">
        <v>4199</v>
      </c>
      <c r="EWL14" s="137" t="s">
        <v>4200</v>
      </c>
      <c r="EWM14" s="137" t="s">
        <v>4201</v>
      </c>
      <c r="EWN14" s="137" t="s">
        <v>4202</v>
      </c>
      <c r="EWO14" s="137" t="s">
        <v>4203</v>
      </c>
      <c r="EWP14" s="137" t="s">
        <v>4204</v>
      </c>
      <c r="EWQ14" s="137" t="s">
        <v>4205</v>
      </c>
      <c r="EWR14" s="137" t="s">
        <v>4206</v>
      </c>
      <c r="EWS14" s="137" t="s">
        <v>4207</v>
      </c>
      <c r="EWT14" s="137" t="s">
        <v>4208</v>
      </c>
      <c r="EWU14" s="137" t="s">
        <v>4209</v>
      </c>
      <c r="EWV14" s="137" t="s">
        <v>4210</v>
      </c>
      <c r="EWW14" s="137" t="s">
        <v>4211</v>
      </c>
      <c r="EWX14" s="137" t="s">
        <v>4212</v>
      </c>
      <c r="EWY14" s="137" t="s">
        <v>4213</v>
      </c>
      <c r="EWZ14" s="137" t="s">
        <v>4214</v>
      </c>
      <c r="EXA14" s="137" t="s">
        <v>4215</v>
      </c>
      <c r="EXB14" s="137" t="s">
        <v>4216</v>
      </c>
      <c r="EXC14" s="137" t="s">
        <v>4217</v>
      </c>
      <c r="EXD14" s="137" t="s">
        <v>4218</v>
      </c>
      <c r="EXE14" s="137" t="s">
        <v>4219</v>
      </c>
      <c r="EXF14" s="137" t="s">
        <v>4220</v>
      </c>
      <c r="EXG14" s="137" t="s">
        <v>4221</v>
      </c>
      <c r="EXH14" s="137" t="s">
        <v>4222</v>
      </c>
      <c r="EXI14" s="137" t="s">
        <v>4223</v>
      </c>
      <c r="EXJ14" s="137" t="s">
        <v>4224</v>
      </c>
      <c r="EXK14" s="137" t="s">
        <v>4225</v>
      </c>
      <c r="EXL14" s="137" t="s">
        <v>4226</v>
      </c>
      <c r="EXM14" s="137" t="s">
        <v>4227</v>
      </c>
      <c r="EXN14" s="137" t="s">
        <v>4228</v>
      </c>
      <c r="EXO14" s="137" t="s">
        <v>4229</v>
      </c>
      <c r="EXP14" s="137" t="s">
        <v>4230</v>
      </c>
      <c r="EXQ14" s="137" t="s">
        <v>4231</v>
      </c>
      <c r="EXR14" s="137" t="s">
        <v>4232</v>
      </c>
      <c r="EXS14" s="137" t="s">
        <v>4233</v>
      </c>
      <c r="EXT14" s="137" t="s">
        <v>4234</v>
      </c>
      <c r="EXU14" s="137" t="s">
        <v>4235</v>
      </c>
      <c r="EXV14" s="137" t="s">
        <v>4236</v>
      </c>
      <c r="EXW14" s="137" t="s">
        <v>4237</v>
      </c>
      <c r="EXX14" s="137" t="s">
        <v>4238</v>
      </c>
      <c r="EXY14" s="137" t="s">
        <v>4239</v>
      </c>
      <c r="EXZ14" s="137" t="s">
        <v>4240</v>
      </c>
      <c r="EYA14" s="137" t="s">
        <v>4241</v>
      </c>
      <c r="EYB14" s="137" t="s">
        <v>4242</v>
      </c>
      <c r="EYC14" s="137" t="s">
        <v>4243</v>
      </c>
      <c r="EYD14" s="137" t="s">
        <v>4244</v>
      </c>
      <c r="EYE14" s="137" t="s">
        <v>4245</v>
      </c>
      <c r="EYF14" s="137" t="s">
        <v>4246</v>
      </c>
      <c r="EYG14" s="137" t="s">
        <v>4247</v>
      </c>
      <c r="EYH14" s="137" t="s">
        <v>4248</v>
      </c>
      <c r="EYI14" s="137" t="s">
        <v>4249</v>
      </c>
      <c r="EYJ14" s="137" t="s">
        <v>4250</v>
      </c>
      <c r="EYK14" s="137" t="s">
        <v>4251</v>
      </c>
      <c r="EYL14" s="137" t="s">
        <v>4252</v>
      </c>
      <c r="EYM14" s="137" t="s">
        <v>4253</v>
      </c>
      <c r="EYN14" s="137" t="s">
        <v>4254</v>
      </c>
      <c r="EYO14" s="137" t="s">
        <v>4255</v>
      </c>
      <c r="EYP14" s="137" t="s">
        <v>4256</v>
      </c>
      <c r="EYQ14" s="137" t="s">
        <v>4257</v>
      </c>
      <c r="EYR14" s="137" t="s">
        <v>4258</v>
      </c>
      <c r="EYS14" s="137" t="s">
        <v>4259</v>
      </c>
      <c r="EYT14" s="137" t="s">
        <v>4260</v>
      </c>
      <c r="EYU14" s="137" t="s">
        <v>4261</v>
      </c>
      <c r="EYV14" s="137" t="s">
        <v>4262</v>
      </c>
      <c r="EYW14" s="137" t="s">
        <v>4263</v>
      </c>
      <c r="EYX14" s="137" t="s">
        <v>4264</v>
      </c>
      <c r="EYY14" s="137" t="s">
        <v>4265</v>
      </c>
      <c r="EYZ14" s="137" t="s">
        <v>4266</v>
      </c>
      <c r="EZA14" s="137" t="s">
        <v>4267</v>
      </c>
      <c r="EZB14" s="137" t="s">
        <v>4268</v>
      </c>
      <c r="EZC14" s="137" t="s">
        <v>4269</v>
      </c>
      <c r="EZD14" s="137" t="s">
        <v>4270</v>
      </c>
      <c r="EZE14" s="137" t="s">
        <v>4271</v>
      </c>
      <c r="EZF14" s="137" t="s">
        <v>4272</v>
      </c>
      <c r="EZG14" s="137" t="s">
        <v>4273</v>
      </c>
      <c r="EZH14" s="137" t="s">
        <v>4274</v>
      </c>
      <c r="EZI14" s="137" t="s">
        <v>4275</v>
      </c>
      <c r="EZJ14" s="137" t="s">
        <v>4276</v>
      </c>
      <c r="EZK14" s="137" t="s">
        <v>4277</v>
      </c>
      <c r="EZL14" s="137" t="s">
        <v>4278</v>
      </c>
      <c r="EZM14" s="137" t="s">
        <v>4279</v>
      </c>
      <c r="EZN14" s="137" t="s">
        <v>4280</v>
      </c>
      <c r="EZO14" s="137" t="s">
        <v>4281</v>
      </c>
      <c r="EZP14" s="137" t="s">
        <v>4282</v>
      </c>
      <c r="EZQ14" s="137" t="s">
        <v>4283</v>
      </c>
      <c r="EZR14" s="137" t="s">
        <v>4284</v>
      </c>
      <c r="EZS14" s="137" t="s">
        <v>4285</v>
      </c>
      <c r="EZT14" s="137" t="s">
        <v>4286</v>
      </c>
      <c r="EZU14" s="137" t="s">
        <v>4287</v>
      </c>
      <c r="EZV14" s="137" t="s">
        <v>4288</v>
      </c>
      <c r="EZW14" s="137" t="s">
        <v>4289</v>
      </c>
      <c r="EZX14" s="137" t="s">
        <v>4290</v>
      </c>
      <c r="EZY14" s="137" t="s">
        <v>4291</v>
      </c>
      <c r="EZZ14" s="137" t="s">
        <v>4292</v>
      </c>
      <c r="FAA14" s="137" t="s">
        <v>4293</v>
      </c>
      <c r="FAB14" s="137" t="s">
        <v>4294</v>
      </c>
      <c r="FAC14" s="137" t="s">
        <v>4295</v>
      </c>
      <c r="FAD14" s="137" t="s">
        <v>4296</v>
      </c>
      <c r="FAE14" s="137" t="s">
        <v>4297</v>
      </c>
      <c r="FAF14" s="137" t="s">
        <v>4298</v>
      </c>
      <c r="FAG14" s="137" t="s">
        <v>4299</v>
      </c>
      <c r="FAH14" s="137" t="s">
        <v>4300</v>
      </c>
      <c r="FAI14" s="137" t="s">
        <v>4301</v>
      </c>
      <c r="FAJ14" s="137" t="s">
        <v>4302</v>
      </c>
      <c r="FAK14" s="137" t="s">
        <v>4303</v>
      </c>
      <c r="FAL14" s="137" t="s">
        <v>4304</v>
      </c>
      <c r="FAM14" s="137" t="s">
        <v>4305</v>
      </c>
      <c r="FAN14" s="137" t="s">
        <v>4306</v>
      </c>
      <c r="FAO14" s="137" t="s">
        <v>4307</v>
      </c>
      <c r="FAP14" s="137" t="s">
        <v>4308</v>
      </c>
      <c r="FAQ14" s="137" t="s">
        <v>4309</v>
      </c>
      <c r="FAR14" s="137" t="s">
        <v>4310</v>
      </c>
      <c r="FAS14" s="137" t="s">
        <v>4311</v>
      </c>
      <c r="FAT14" s="137" t="s">
        <v>4312</v>
      </c>
      <c r="FAU14" s="137" t="s">
        <v>4313</v>
      </c>
      <c r="FAV14" s="137" t="s">
        <v>4314</v>
      </c>
      <c r="FAW14" s="137" t="s">
        <v>4315</v>
      </c>
      <c r="FAX14" s="137" t="s">
        <v>4316</v>
      </c>
      <c r="FAY14" s="137" t="s">
        <v>4317</v>
      </c>
      <c r="FAZ14" s="137" t="s">
        <v>4318</v>
      </c>
      <c r="FBA14" s="137" t="s">
        <v>4319</v>
      </c>
      <c r="FBB14" s="137" t="s">
        <v>4320</v>
      </c>
      <c r="FBC14" s="137" t="s">
        <v>4321</v>
      </c>
      <c r="FBD14" s="137" t="s">
        <v>4322</v>
      </c>
      <c r="FBE14" s="137" t="s">
        <v>4323</v>
      </c>
      <c r="FBF14" s="137" t="s">
        <v>4324</v>
      </c>
      <c r="FBG14" s="137" t="s">
        <v>4325</v>
      </c>
      <c r="FBH14" s="137" t="s">
        <v>4326</v>
      </c>
      <c r="FBI14" s="137" t="s">
        <v>4327</v>
      </c>
      <c r="FBJ14" s="137" t="s">
        <v>4328</v>
      </c>
      <c r="FBK14" s="137" t="s">
        <v>4329</v>
      </c>
      <c r="FBL14" s="137" t="s">
        <v>4330</v>
      </c>
      <c r="FBM14" s="137" t="s">
        <v>4331</v>
      </c>
      <c r="FBN14" s="137" t="s">
        <v>4332</v>
      </c>
      <c r="FBO14" s="137" t="s">
        <v>4333</v>
      </c>
      <c r="FBP14" s="137" t="s">
        <v>4334</v>
      </c>
      <c r="FBQ14" s="137" t="s">
        <v>4335</v>
      </c>
      <c r="FBR14" s="137" t="s">
        <v>4336</v>
      </c>
      <c r="FBS14" s="137" t="s">
        <v>4337</v>
      </c>
      <c r="FBT14" s="137" t="s">
        <v>4338</v>
      </c>
      <c r="FBU14" s="137" t="s">
        <v>4339</v>
      </c>
      <c r="FBV14" s="137" t="s">
        <v>4340</v>
      </c>
      <c r="FBW14" s="137" t="s">
        <v>4341</v>
      </c>
      <c r="FBX14" s="137" t="s">
        <v>4342</v>
      </c>
      <c r="FBY14" s="137" t="s">
        <v>4343</v>
      </c>
      <c r="FBZ14" s="137" t="s">
        <v>4344</v>
      </c>
      <c r="FCA14" s="137" t="s">
        <v>4345</v>
      </c>
      <c r="FCB14" s="137" t="s">
        <v>4346</v>
      </c>
      <c r="FCC14" s="137" t="s">
        <v>4347</v>
      </c>
      <c r="FCD14" s="137" t="s">
        <v>4348</v>
      </c>
      <c r="FCE14" s="137" t="s">
        <v>4349</v>
      </c>
      <c r="FCF14" s="137" t="s">
        <v>4350</v>
      </c>
      <c r="FCG14" s="137" t="s">
        <v>4351</v>
      </c>
      <c r="FCH14" s="137" t="s">
        <v>4352</v>
      </c>
      <c r="FCI14" s="137" t="s">
        <v>4353</v>
      </c>
      <c r="FCJ14" s="137" t="s">
        <v>4354</v>
      </c>
      <c r="FCK14" s="137" t="s">
        <v>4355</v>
      </c>
      <c r="FCL14" s="137" t="s">
        <v>4356</v>
      </c>
      <c r="FCM14" s="137" t="s">
        <v>4357</v>
      </c>
      <c r="FCN14" s="137" t="s">
        <v>4358</v>
      </c>
      <c r="FCO14" s="137" t="s">
        <v>4359</v>
      </c>
      <c r="FCP14" s="137" t="s">
        <v>4360</v>
      </c>
      <c r="FCQ14" s="137" t="s">
        <v>4361</v>
      </c>
      <c r="FCR14" s="137" t="s">
        <v>4362</v>
      </c>
      <c r="FCS14" s="137" t="s">
        <v>4363</v>
      </c>
      <c r="FCT14" s="137" t="s">
        <v>4364</v>
      </c>
      <c r="FCU14" s="137" t="s">
        <v>4365</v>
      </c>
      <c r="FCV14" s="137" t="s">
        <v>4366</v>
      </c>
      <c r="FCW14" s="137" t="s">
        <v>4367</v>
      </c>
      <c r="FCX14" s="137" t="s">
        <v>4368</v>
      </c>
      <c r="FCY14" s="137" t="s">
        <v>4369</v>
      </c>
      <c r="FCZ14" s="137" t="s">
        <v>4370</v>
      </c>
      <c r="FDA14" s="137" t="s">
        <v>4371</v>
      </c>
      <c r="FDB14" s="137" t="s">
        <v>4372</v>
      </c>
      <c r="FDC14" s="137" t="s">
        <v>4373</v>
      </c>
      <c r="FDD14" s="137" t="s">
        <v>4374</v>
      </c>
      <c r="FDE14" s="137" t="s">
        <v>4375</v>
      </c>
      <c r="FDF14" s="137" t="s">
        <v>4376</v>
      </c>
      <c r="FDG14" s="137" t="s">
        <v>4377</v>
      </c>
      <c r="FDH14" s="137" t="s">
        <v>4378</v>
      </c>
      <c r="FDI14" s="137" t="s">
        <v>4379</v>
      </c>
      <c r="FDJ14" s="137" t="s">
        <v>4380</v>
      </c>
      <c r="FDK14" s="137" t="s">
        <v>4381</v>
      </c>
      <c r="FDL14" s="137" t="s">
        <v>4382</v>
      </c>
      <c r="FDM14" s="137" t="s">
        <v>4383</v>
      </c>
      <c r="FDN14" s="137" t="s">
        <v>4384</v>
      </c>
      <c r="FDO14" s="137" t="s">
        <v>4385</v>
      </c>
      <c r="FDP14" s="137" t="s">
        <v>4386</v>
      </c>
      <c r="FDQ14" s="137" t="s">
        <v>4387</v>
      </c>
      <c r="FDR14" s="137" t="s">
        <v>4388</v>
      </c>
      <c r="FDS14" s="137" t="s">
        <v>4389</v>
      </c>
      <c r="FDT14" s="137" t="s">
        <v>4390</v>
      </c>
      <c r="FDU14" s="137" t="s">
        <v>4391</v>
      </c>
      <c r="FDV14" s="137" t="s">
        <v>4392</v>
      </c>
      <c r="FDW14" s="137" t="s">
        <v>4393</v>
      </c>
      <c r="FDX14" s="137" t="s">
        <v>4394</v>
      </c>
      <c r="FDY14" s="137" t="s">
        <v>4395</v>
      </c>
      <c r="FDZ14" s="137" t="s">
        <v>4396</v>
      </c>
      <c r="FEA14" s="137" t="s">
        <v>4397</v>
      </c>
      <c r="FEB14" s="137" t="s">
        <v>4398</v>
      </c>
      <c r="FEC14" s="137" t="s">
        <v>4399</v>
      </c>
      <c r="FED14" s="137" t="s">
        <v>4400</v>
      </c>
      <c r="FEE14" s="137" t="s">
        <v>4401</v>
      </c>
      <c r="FEF14" s="137" t="s">
        <v>4402</v>
      </c>
      <c r="FEG14" s="137" t="s">
        <v>4403</v>
      </c>
      <c r="FEH14" s="137" t="s">
        <v>4404</v>
      </c>
      <c r="FEI14" s="137" t="s">
        <v>4405</v>
      </c>
      <c r="FEJ14" s="137" t="s">
        <v>4406</v>
      </c>
      <c r="FEK14" s="137" t="s">
        <v>4407</v>
      </c>
      <c r="FEL14" s="137" t="s">
        <v>4408</v>
      </c>
      <c r="FEM14" s="137" t="s">
        <v>4409</v>
      </c>
      <c r="FEN14" s="137" t="s">
        <v>4410</v>
      </c>
      <c r="FEO14" s="137" t="s">
        <v>4411</v>
      </c>
      <c r="FEP14" s="137" t="s">
        <v>4412</v>
      </c>
      <c r="FEQ14" s="137" t="s">
        <v>4413</v>
      </c>
      <c r="FER14" s="137" t="s">
        <v>4414</v>
      </c>
      <c r="FES14" s="137" t="s">
        <v>4415</v>
      </c>
      <c r="FET14" s="137" t="s">
        <v>4416</v>
      </c>
      <c r="FEU14" s="137" t="s">
        <v>4417</v>
      </c>
      <c r="FEV14" s="137" t="s">
        <v>4418</v>
      </c>
      <c r="FEW14" s="137" t="s">
        <v>4419</v>
      </c>
      <c r="FEX14" s="137" t="s">
        <v>4420</v>
      </c>
      <c r="FEY14" s="137" t="s">
        <v>4421</v>
      </c>
      <c r="FEZ14" s="137" t="s">
        <v>4422</v>
      </c>
      <c r="FFA14" s="137" t="s">
        <v>4423</v>
      </c>
      <c r="FFB14" s="137" t="s">
        <v>4424</v>
      </c>
      <c r="FFC14" s="137" t="s">
        <v>4425</v>
      </c>
      <c r="FFD14" s="137" t="s">
        <v>4426</v>
      </c>
      <c r="FFE14" s="137" t="s">
        <v>4427</v>
      </c>
      <c r="FFF14" s="137" t="s">
        <v>4428</v>
      </c>
      <c r="FFG14" s="137" t="s">
        <v>4429</v>
      </c>
      <c r="FFH14" s="137" t="s">
        <v>4430</v>
      </c>
      <c r="FFI14" s="137" t="s">
        <v>4431</v>
      </c>
      <c r="FFJ14" s="137" t="s">
        <v>4432</v>
      </c>
      <c r="FFK14" s="137" t="s">
        <v>4433</v>
      </c>
      <c r="FFL14" s="137" t="s">
        <v>4434</v>
      </c>
      <c r="FFM14" s="137" t="s">
        <v>4435</v>
      </c>
      <c r="FFN14" s="137" t="s">
        <v>4436</v>
      </c>
      <c r="FFO14" s="137" t="s">
        <v>4437</v>
      </c>
      <c r="FFP14" s="137" t="s">
        <v>4438</v>
      </c>
      <c r="FFQ14" s="137" t="s">
        <v>4439</v>
      </c>
      <c r="FFR14" s="137" t="s">
        <v>4440</v>
      </c>
      <c r="FFS14" s="137" t="s">
        <v>4441</v>
      </c>
      <c r="FFT14" s="137" t="s">
        <v>4442</v>
      </c>
      <c r="FFU14" s="137" t="s">
        <v>4443</v>
      </c>
      <c r="FFV14" s="137" t="s">
        <v>4444</v>
      </c>
      <c r="FFW14" s="137" t="s">
        <v>4445</v>
      </c>
      <c r="FFX14" s="137" t="s">
        <v>4446</v>
      </c>
      <c r="FFY14" s="137" t="s">
        <v>4447</v>
      </c>
      <c r="FFZ14" s="137" t="s">
        <v>4448</v>
      </c>
      <c r="FGA14" s="137" t="s">
        <v>4449</v>
      </c>
      <c r="FGB14" s="137" t="s">
        <v>4450</v>
      </c>
      <c r="FGC14" s="137" t="s">
        <v>4451</v>
      </c>
      <c r="FGD14" s="137" t="s">
        <v>4452</v>
      </c>
      <c r="FGE14" s="137" t="s">
        <v>4453</v>
      </c>
      <c r="FGF14" s="137" t="s">
        <v>4454</v>
      </c>
      <c r="FGG14" s="137" t="s">
        <v>4455</v>
      </c>
      <c r="FGH14" s="137" t="s">
        <v>4456</v>
      </c>
      <c r="FGI14" s="137" t="s">
        <v>4457</v>
      </c>
      <c r="FGJ14" s="137" t="s">
        <v>4458</v>
      </c>
      <c r="FGK14" s="137" t="s">
        <v>4459</v>
      </c>
      <c r="FGL14" s="137" t="s">
        <v>4460</v>
      </c>
      <c r="FGM14" s="137" t="s">
        <v>4461</v>
      </c>
      <c r="FGN14" s="137" t="s">
        <v>4462</v>
      </c>
      <c r="FGO14" s="137" t="s">
        <v>4463</v>
      </c>
      <c r="FGP14" s="137" t="s">
        <v>4464</v>
      </c>
      <c r="FGQ14" s="137" t="s">
        <v>4465</v>
      </c>
      <c r="FGR14" s="137" t="s">
        <v>4466</v>
      </c>
      <c r="FGS14" s="137" t="s">
        <v>4467</v>
      </c>
      <c r="FGT14" s="137" t="s">
        <v>4468</v>
      </c>
      <c r="FGU14" s="137" t="s">
        <v>4469</v>
      </c>
      <c r="FGV14" s="137" t="s">
        <v>4470</v>
      </c>
      <c r="FGW14" s="137" t="s">
        <v>4471</v>
      </c>
      <c r="FGX14" s="137" t="s">
        <v>4472</v>
      </c>
      <c r="FGY14" s="137" t="s">
        <v>4473</v>
      </c>
      <c r="FGZ14" s="137" t="s">
        <v>4474</v>
      </c>
      <c r="FHA14" s="137" t="s">
        <v>4475</v>
      </c>
      <c r="FHB14" s="137" t="s">
        <v>4476</v>
      </c>
      <c r="FHC14" s="137" t="s">
        <v>4477</v>
      </c>
      <c r="FHD14" s="137" t="s">
        <v>4478</v>
      </c>
      <c r="FHE14" s="137" t="s">
        <v>4479</v>
      </c>
      <c r="FHF14" s="137" t="s">
        <v>4480</v>
      </c>
      <c r="FHG14" s="137" t="s">
        <v>4481</v>
      </c>
      <c r="FHH14" s="137" t="s">
        <v>4482</v>
      </c>
      <c r="FHI14" s="137" t="s">
        <v>4483</v>
      </c>
      <c r="FHJ14" s="137" t="s">
        <v>4484</v>
      </c>
      <c r="FHK14" s="137" t="s">
        <v>4485</v>
      </c>
      <c r="FHL14" s="137" t="s">
        <v>4486</v>
      </c>
      <c r="FHM14" s="137" t="s">
        <v>4487</v>
      </c>
      <c r="FHN14" s="137" t="s">
        <v>4488</v>
      </c>
      <c r="FHO14" s="137" t="s">
        <v>4489</v>
      </c>
      <c r="FHP14" s="137" t="s">
        <v>4490</v>
      </c>
      <c r="FHQ14" s="137" t="s">
        <v>4491</v>
      </c>
      <c r="FHR14" s="137" t="s">
        <v>4492</v>
      </c>
      <c r="FHS14" s="137" t="s">
        <v>4493</v>
      </c>
      <c r="FHT14" s="137" t="s">
        <v>4494</v>
      </c>
      <c r="FHU14" s="137" t="s">
        <v>4495</v>
      </c>
      <c r="FHV14" s="137" t="s">
        <v>4496</v>
      </c>
      <c r="FHW14" s="137" t="s">
        <v>4497</v>
      </c>
      <c r="FHX14" s="137" t="s">
        <v>4498</v>
      </c>
      <c r="FHY14" s="137" t="s">
        <v>4499</v>
      </c>
      <c r="FHZ14" s="137" t="s">
        <v>4500</v>
      </c>
      <c r="FIA14" s="137" t="s">
        <v>4501</v>
      </c>
      <c r="FIB14" s="137" t="s">
        <v>4502</v>
      </c>
      <c r="FIC14" s="137" t="s">
        <v>4503</v>
      </c>
      <c r="FID14" s="137" t="s">
        <v>4504</v>
      </c>
      <c r="FIE14" s="137" t="s">
        <v>4505</v>
      </c>
      <c r="FIF14" s="137" t="s">
        <v>4506</v>
      </c>
      <c r="FIG14" s="137" t="s">
        <v>4507</v>
      </c>
      <c r="FIH14" s="137" t="s">
        <v>4508</v>
      </c>
      <c r="FII14" s="137" t="s">
        <v>4509</v>
      </c>
      <c r="FIJ14" s="137" t="s">
        <v>4510</v>
      </c>
      <c r="FIK14" s="137" t="s">
        <v>4511</v>
      </c>
      <c r="FIL14" s="137" t="s">
        <v>4512</v>
      </c>
      <c r="FIM14" s="137" t="s">
        <v>4513</v>
      </c>
      <c r="FIN14" s="137" t="s">
        <v>4514</v>
      </c>
      <c r="FIO14" s="137" t="s">
        <v>4515</v>
      </c>
      <c r="FIP14" s="137" t="s">
        <v>4516</v>
      </c>
      <c r="FIQ14" s="137" t="s">
        <v>4517</v>
      </c>
      <c r="FIR14" s="137" t="s">
        <v>4518</v>
      </c>
      <c r="FIS14" s="137" t="s">
        <v>4519</v>
      </c>
      <c r="FIT14" s="137" t="s">
        <v>4520</v>
      </c>
      <c r="FIU14" s="137" t="s">
        <v>4521</v>
      </c>
      <c r="FIV14" s="137" t="s">
        <v>4522</v>
      </c>
      <c r="FIW14" s="137" t="s">
        <v>4523</v>
      </c>
      <c r="FIX14" s="137" t="s">
        <v>4524</v>
      </c>
      <c r="FIY14" s="137" t="s">
        <v>4525</v>
      </c>
      <c r="FIZ14" s="137" t="s">
        <v>4526</v>
      </c>
      <c r="FJA14" s="137" t="s">
        <v>4527</v>
      </c>
      <c r="FJB14" s="137" t="s">
        <v>4528</v>
      </c>
      <c r="FJC14" s="137" t="s">
        <v>4529</v>
      </c>
      <c r="FJD14" s="137" t="s">
        <v>4530</v>
      </c>
      <c r="FJE14" s="137" t="s">
        <v>4531</v>
      </c>
      <c r="FJF14" s="137" t="s">
        <v>4532</v>
      </c>
      <c r="FJG14" s="137" t="s">
        <v>4533</v>
      </c>
      <c r="FJH14" s="137" t="s">
        <v>4534</v>
      </c>
      <c r="FJI14" s="137" t="s">
        <v>4535</v>
      </c>
      <c r="FJJ14" s="137" t="s">
        <v>4536</v>
      </c>
      <c r="FJK14" s="137" t="s">
        <v>4537</v>
      </c>
      <c r="FJL14" s="137" t="s">
        <v>4538</v>
      </c>
      <c r="FJM14" s="137" t="s">
        <v>4539</v>
      </c>
      <c r="FJN14" s="137" t="s">
        <v>4540</v>
      </c>
      <c r="FJO14" s="137" t="s">
        <v>4541</v>
      </c>
      <c r="FJP14" s="137" t="s">
        <v>4542</v>
      </c>
      <c r="FJQ14" s="137" t="s">
        <v>4543</v>
      </c>
      <c r="FJR14" s="137" t="s">
        <v>4544</v>
      </c>
      <c r="FJS14" s="137" t="s">
        <v>4545</v>
      </c>
      <c r="FJT14" s="137" t="s">
        <v>4546</v>
      </c>
      <c r="FJU14" s="137" t="s">
        <v>4547</v>
      </c>
      <c r="FJV14" s="137" t="s">
        <v>4548</v>
      </c>
      <c r="FJW14" s="137" t="s">
        <v>4549</v>
      </c>
      <c r="FJX14" s="137" t="s">
        <v>4550</v>
      </c>
      <c r="FJY14" s="137" t="s">
        <v>4551</v>
      </c>
      <c r="FJZ14" s="137" t="s">
        <v>4552</v>
      </c>
      <c r="FKA14" s="137" t="s">
        <v>4553</v>
      </c>
      <c r="FKB14" s="137" t="s">
        <v>4554</v>
      </c>
      <c r="FKC14" s="137" t="s">
        <v>4555</v>
      </c>
      <c r="FKD14" s="137" t="s">
        <v>4556</v>
      </c>
      <c r="FKE14" s="137" t="s">
        <v>4557</v>
      </c>
      <c r="FKF14" s="137" t="s">
        <v>4558</v>
      </c>
      <c r="FKG14" s="137" t="s">
        <v>4559</v>
      </c>
      <c r="FKH14" s="137" t="s">
        <v>4560</v>
      </c>
      <c r="FKI14" s="137" t="s">
        <v>4561</v>
      </c>
      <c r="FKJ14" s="137" t="s">
        <v>4562</v>
      </c>
      <c r="FKK14" s="137" t="s">
        <v>4563</v>
      </c>
      <c r="FKL14" s="137" t="s">
        <v>4564</v>
      </c>
      <c r="FKM14" s="137" t="s">
        <v>4565</v>
      </c>
      <c r="FKN14" s="137" t="s">
        <v>4566</v>
      </c>
      <c r="FKO14" s="137" t="s">
        <v>4567</v>
      </c>
      <c r="FKP14" s="137" t="s">
        <v>4568</v>
      </c>
      <c r="FKQ14" s="137" t="s">
        <v>4569</v>
      </c>
      <c r="FKR14" s="137" t="s">
        <v>4570</v>
      </c>
      <c r="FKS14" s="137" t="s">
        <v>4571</v>
      </c>
      <c r="FKT14" s="137" t="s">
        <v>4572</v>
      </c>
      <c r="FKU14" s="137" t="s">
        <v>4573</v>
      </c>
      <c r="FKV14" s="137" t="s">
        <v>4574</v>
      </c>
      <c r="FKW14" s="137" t="s">
        <v>4575</v>
      </c>
      <c r="FKX14" s="137" t="s">
        <v>4576</v>
      </c>
      <c r="FKY14" s="137" t="s">
        <v>4577</v>
      </c>
      <c r="FKZ14" s="137" t="s">
        <v>4578</v>
      </c>
      <c r="FLA14" s="137" t="s">
        <v>4579</v>
      </c>
      <c r="FLB14" s="137" t="s">
        <v>4580</v>
      </c>
      <c r="FLC14" s="137" t="s">
        <v>4581</v>
      </c>
      <c r="FLD14" s="137" t="s">
        <v>4582</v>
      </c>
      <c r="FLE14" s="137" t="s">
        <v>4583</v>
      </c>
      <c r="FLF14" s="137" t="s">
        <v>4584</v>
      </c>
      <c r="FLG14" s="137" t="s">
        <v>4585</v>
      </c>
      <c r="FLH14" s="137" t="s">
        <v>4586</v>
      </c>
      <c r="FLI14" s="137" t="s">
        <v>4587</v>
      </c>
      <c r="FLJ14" s="137" t="s">
        <v>4588</v>
      </c>
      <c r="FLK14" s="137" t="s">
        <v>4589</v>
      </c>
      <c r="FLL14" s="137" t="s">
        <v>4590</v>
      </c>
      <c r="FLM14" s="137" t="s">
        <v>4591</v>
      </c>
      <c r="FLN14" s="137" t="s">
        <v>4592</v>
      </c>
      <c r="FLO14" s="137" t="s">
        <v>4593</v>
      </c>
      <c r="FLP14" s="137" t="s">
        <v>4594</v>
      </c>
      <c r="FLQ14" s="137" t="s">
        <v>4595</v>
      </c>
      <c r="FLR14" s="137" t="s">
        <v>4596</v>
      </c>
      <c r="FLS14" s="137" t="s">
        <v>4597</v>
      </c>
      <c r="FLT14" s="137" t="s">
        <v>4598</v>
      </c>
      <c r="FLU14" s="137" t="s">
        <v>4599</v>
      </c>
      <c r="FLV14" s="137" t="s">
        <v>4600</v>
      </c>
      <c r="FLW14" s="137" t="s">
        <v>4601</v>
      </c>
      <c r="FLX14" s="137" t="s">
        <v>4602</v>
      </c>
      <c r="FLY14" s="137" t="s">
        <v>4603</v>
      </c>
      <c r="FLZ14" s="137" t="s">
        <v>4604</v>
      </c>
      <c r="FMA14" s="137" t="s">
        <v>4605</v>
      </c>
      <c r="FMB14" s="137" t="s">
        <v>4606</v>
      </c>
      <c r="FMC14" s="137" t="s">
        <v>4607</v>
      </c>
      <c r="FMD14" s="137" t="s">
        <v>4608</v>
      </c>
      <c r="FME14" s="137" t="s">
        <v>4609</v>
      </c>
      <c r="FMF14" s="137" t="s">
        <v>4610</v>
      </c>
      <c r="FMG14" s="137" t="s">
        <v>4611</v>
      </c>
      <c r="FMH14" s="137" t="s">
        <v>4612</v>
      </c>
      <c r="FMI14" s="137" t="s">
        <v>4613</v>
      </c>
      <c r="FMJ14" s="137" t="s">
        <v>4614</v>
      </c>
      <c r="FMK14" s="137" t="s">
        <v>4615</v>
      </c>
      <c r="FML14" s="137" t="s">
        <v>4616</v>
      </c>
      <c r="FMM14" s="137" t="s">
        <v>4617</v>
      </c>
      <c r="FMN14" s="137" t="s">
        <v>4618</v>
      </c>
      <c r="FMO14" s="137" t="s">
        <v>4619</v>
      </c>
      <c r="FMP14" s="137" t="s">
        <v>4620</v>
      </c>
      <c r="FMQ14" s="137" t="s">
        <v>4621</v>
      </c>
      <c r="FMR14" s="137" t="s">
        <v>4622</v>
      </c>
      <c r="FMS14" s="137" t="s">
        <v>4623</v>
      </c>
      <c r="FMT14" s="137" t="s">
        <v>4624</v>
      </c>
      <c r="FMU14" s="137" t="s">
        <v>4625</v>
      </c>
      <c r="FMV14" s="137" t="s">
        <v>4626</v>
      </c>
      <c r="FMW14" s="137" t="s">
        <v>4627</v>
      </c>
      <c r="FMX14" s="137" t="s">
        <v>4628</v>
      </c>
      <c r="FMY14" s="137" t="s">
        <v>4629</v>
      </c>
      <c r="FMZ14" s="137" t="s">
        <v>4630</v>
      </c>
      <c r="FNA14" s="137" t="s">
        <v>4631</v>
      </c>
      <c r="FNB14" s="137" t="s">
        <v>4632</v>
      </c>
      <c r="FNC14" s="137" t="s">
        <v>4633</v>
      </c>
      <c r="FND14" s="137" t="s">
        <v>4634</v>
      </c>
      <c r="FNE14" s="137" t="s">
        <v>4635</v>
      </c>
      <c r="FNF14" s="137" t="s">
        <v>4636</v>
      </c>
      <c r="FNG14" s="137" t="s">
        <v>4637</v>
      </c>
      <c r="FNH14" s="137" t="s">
        <v>4638</v>
      </c>
      <c r="FNI14" s="137" t="s">
        <v>4639</v>
      </c>
      <c r="FNJ14" s="137" t="s">
        <v>4640</v>
      </c>
      <c r="FNK14" s="137" t="s">
        <v>4641</v>
      </c>
      <c r="FNL14" s="137" t="s">
        <v>4642</v>
      </c>
      <c r="FNM14" s="137" t="s">
        <v>4643</v>
      </c>
      <c r="FNN14" s="137" t="s">
        <v>4644</v>
      </c>
      <c r="FNO14" s="137" t="s">
        <v>4645</v>
      </c>
      <c r="FNP14" s="137" t="s">
        <v>4646</v>
      </c>
      <c r="FNQ14" s="137" t="s">
        <v>4647</v>
      </c>
      <c r="FNR14" s="137" t="s">
        <v>4648</v>
      </c>
      <c r="FNS14" s="137" t="s">
        <v>4649</v>
      </c>
      <c r="FNT14" s="137" t="s">
        <v>4650</v>
      </c>
      <c r="FNU14" s="137" t="s">
        <v>4651</v>
      </c>
      <c r="FNV14" s="137" t="s">
        <v>4652</v>
      </c>
      <c r="FNW14" s="137" t="s">
        <v>4653</v>
      </c>
      <c r="FNX14" s="137" t="s">
        <v>4654</v>
      </c>
      <c r="FNY14" s="137" t="s">
        <v>4655</v>
      </c>
      <c r="FNZ14" s="137" t="s">
        <v>4656</v>
      </c>
      <c r="FOA14" s="137" t="s">
        <v>4657</v>
      </c>
      <c r="FOB14" s="137" t="s">
        <v>4658</v>
      </c>
      <c r="FOC14" s="137" t="s">
        <v>4659</v>
      </c>
      <c r="FOD14" s="137" t="s">
        <v>4660</v>
      </c>
      <c r="FOE14" s="137" t="s">
        <v>4661</v>
      </c>
      <c r="FOF14" s="137" t="s">
        <v>4662</v>
      </c>
      <c r="FOG14" s="137" t="s">
        <v>4663</v>
      </c>
      <c r="FOH14" s="137" t="s">
        <v>4664</v>
      </c>
      <c r="FOI14" s="137" t="s">
        <v>4665</v>
      </c>
      <c r="FOJ14" s="137" t="s">
        <v>4666</v>
      </c>
      <c r="FOK14" s="137" t="s">
        <v>4667</v>
      </c>
      <c r="FOL14" s="137" t="s">
        <v>4668</v>
      </c>
      <c r="FOM14" s="137" t="s">
        <v>4669</v>
      </c>
      <c r="FON14" s="137" t="s">
        <v>4670</v>
      </c>
      <c r="FOO14" s="137" t="s">
        <v>4671</v>
      </c>
      <c r="FOP14" s="137" t="s">
        <v>4672</v>
      </c>
      <c r="FOQ14" s="137" t="s">
        <v>4673</v>
      </c>
      <c r="FOR14" s="137" t="s">
        <v>4674</v>
      </c>
      <c r="FOS14" s="137" t="s">
        <v>4675</v>
      </c>
      <c r="FOT14" s="137" t="s">
        <v>4676</v>
      </c>
      <c r="FOU14" s="137" t="s">
        <v>4677</v>
      </c>
      <c r="FOV14" s="137" t="s">
        <v>4678</v>
      </c>
      <c r="FOW14" s="137" t="s">
        <v>4679</v>
      </c>
      <c r="FOX14" s="137" t="s">
        <v>4680</v>
      </c>
      <c r="FOY14" s="137" t="s">
        <v>4681</v>
      </c>
      <c r="FOZ14" s="137" t="s">
        <v>4682</v>
      </c>
      <c r="FPA14" s="137" t="s">
        <v>4683</v>
      </c>
      <c r="FPB14" s="137" t="s">
        <v>4684</v>
      </c>
      <c r="FPC14" s="137" t="s">
        <v>4685</v>
      </c>
      <c r="FPD14" s="137" t="s">
        <v>4686</v>
      </c>
      <c r="FPE14" s="137" t="s">
        <v>4687</v>
      </c>
      <c r="FPF14" s="137" t="s">
        <v>4688</v>
      </c>
      <c r="FPG14" s="137" t="s">
        <v>4689</v>
      </c>
      <c r="FPH14" s="137" t="s">
        <v>4690</v>
      </c>
      <c r="FPI14" s="137" t="s">
        <v>4691</v>
      </c>
      <c r="FPJ14" s="137" t="s">
        <v>4692</v>
      </c>
      <c r="FPK14" s="137" t="s">
        <v>4693</v>
      </c>
      <c r="FPL14" s="137" t="s">
        <v>4694</v>
      </c>
      <c r="FPM14" s="137" t="s">
        <v>4695</v>
      </c>
      <c r="FPN14" s="137" t="s">
        <v>4696</v>
      </c>
      <c r="FPO14" s="137" t="s">
        <v>4697</v>
      </c>
      <c r="FPP14" s="137" t="s">
        <v>4698</v>
      </c>
      <c r="FPQ14" s="137" t="s">
        <v>4699</v>
      </c>
      <c r="FPR14" s="137" t="s">
        <v>4700</v>
      </c>
      <c r="FPS14" s="137" t="s">
        <v>4701</v>
      </c>
      <c r="FPT14" s="137" t="s">
        <v>4702</v>
      </c>
      <c r="FPU14" s="137" t="s">
        <v>4703</v>
      </c>
      <c r="FPV14" s="137" t="s">
        <v>4704</v>
      </c>
      <c r="FPW14" s="137" t="s">
        <v>4705</v>
      </c>
      <c r="FPX14" s="137" t="s">
        <v>4706</v>
      </c>
      <c r="FPY14" s="137" t="s">
        <v>4707</v>
      </c>
      <c r="FPZ14" s="137" t="s">
        <v>4708</v>
      </c>
      <c r="FQA14" s="137" t="s">
        <v>4709</v>
      </c>
      <c r="FQB14" s="137" t="s">
        <v>4710</v>
      </c>
      <c r="FQC14" s="137" t="s">
        <v>4711</v>
      </c>
      <c r="FQD14" s="137" t="s">
        <v>4712</v>
      </c>
      <c r="FQE14" s="137" t="s">
        <v>4713</v>
      </c>
      <c r="FQF14" s="137" t="s">
        <v>4714</v>
      </c>
      <c r="FQG14" s="137" t="s">
        <v>4715</v>
      </c>
      <c r="FQH14" s="137" t="s">
        <v>4716</v>
      </c>
      <c r="FQI14" s="137" t="s">
        <v>4717</v>
      </c>
      <c r="FQJ14" s="137" t="s">
        <v>4718</v>
      </c>
      <c r="FQK14" s="137" t="s">
        <v>4719</v>
      </c>
      <c r="FQL14" s="137" t="s">
        <v>4720</v>
      </c>
      <c r="FQM14" s="137" t="s">
        <v>4721</v>
      </c>
      <c r="FQN14" s="137" t="s">
        <v>4722</v>
      </c>
      <c r="FQO14" s="137" t="s">
        <v>4723</v>
      </c>
      <c r="FQP14" s="137" t="s">
        <v>4724</v>
      </c>
      <c r="FQQ14" s="137" t="s">
        <v>4725</v>
      </c>
      <c r="FQR14" s="137" t="s">
        <v>4726</v>
      </c>
      <c r="FQS14" s="137" t="s">
        <v>4727</v>
      </c>
      <c r="FQT14" s="137" t="s">
        <v>4728</v>
      </c>
      <c r="FQU14" s="137" t="s">
        <v>4729</v>
      </c>
      <c r="FQV14" s="137" t="s">
        <v>4730</v>
      </c>
      <c r="FQW14" s="137" t="s">
        <v>4731</v>
      </c>
      <c r="FQX14" s="137" t="s">
        <v>4732</v>
      </c>
      <c r="FQY14" s="137" t="s">
        <v>4733</v>
      </c>
      <c r="FQZ14" s="137" t="s">
        <v>4734</v>
      </c>
      <c r="FRA14" s="137" t="s">
        <v>4735</v>
      </c>
      <c r="FRB14" s="137" t="s">
        <v>4736</v>
      </c>
      <c r="FRC14" s="137" t="s">
        <v>4737</v>
      </c>
      <c r="FRD14" s="137" t="s">
        <v>4738</v>
      </c>
      <c r="FRE14" s="137" t="s">
        <v>4739</v>
      </c>
      <c r="FRF14" s="137" t="s">
        <v>4740</v>
      </c>
      <c r="FRG14" s="137" t="s">
        <v>4741</v>
      </c>
      <c r="FRH14" s="137" t="s">
        <v>4742</v>
      </c>
      <c r="FRI14" s="137" t="s">
        <v>4743</v>
      </c>
      <c r="FRJ14" s="137" t="s">
        <v>4744</v>
      </c>
      <c r="FRK14" s="137" t="s">
        <v>4745</v>
      </c>
      <c r="FRL14" s="137" t="s">
        <v>4746</v>
      </c>
      <c r="FRM14" s="137" t="s">
        <v>4747</v>
      </c>
      <c r="FRN14" s="137" t="s">
        <v>4748</v>
      </c>
      <c r="FRO14" s="137" t="s">
        <v>4749</v>
      </c>
      <c r="FRP14" s="137" t="s">
        <v>4750</v>
      </c>
      <c r="FRQ14" s="137" t="s">
        <v>4751</v>
      </c>
      <c r="FRR14" s="137" t="s">
        <v>4752</v>
      </c>
      <c r="FRS14" s="137" t="s">
        <v>4753</v>
      </c>
      <c r="FRT14" s="137" t="s">
        <v>4754</v>
      </c>
      <c r="FRU14" s="137" t="s">
        <v>4755</v>
      </c>
      <c r="FRV14" s="137" t="s">
        <v>4756</v>
      </c>
      <c r="FRW14" s="137" t="s">
        <v>4757</v>
      </c>
      <c r="FRX14" s="137" t="s">
        <v>4758</v>
      </c>
      <c r="FRY14" s="137" t="s">
        <v>4759</v>
      </c>
      <c r="FRZ14" s="137" t="s">
        <v>4760</v>
      </c>
      <c r="FSA14" s="137" t="s">
        <v>4761</v>
      </c>
      <c r="FSB14" s="137" t="s">
        <v>4762</v>
      </c>
      <c r="FSC14" s="137" t="s">
        <v>4763</v>
      </c>
      <c r="FSD14" s="137" t="s">
        <v>4764</v>
      </c>
      <c r="FSE14" s="137" t="s">
        <v>4765</v>
      </c>
      <c r="FSF14" s="137" t="s">
        <v>4766</v>
      </c>
      <c r="FSG14" s="137" t="s">
        <v>4767</v>
      </c>
      <c r="FSH14" s="137" t="s">
        <v>4768</v>
      </c>
      <c r="FSI14" s="137" t="s">
        <v>4769</v>
      </c>
      <c r="FSJ14" s="137" t="s">
        <v>4770</v>
      </c>
      <c r="FSK14" s="137" t="s">
        <v>4771</v>
      </c>
      <c r="FSL14" s="137" t="s">
        <v>4772</v>
      </c>
      <c r="FSM14" s="137" t="s">
        <v>4773</v>
      </c>
      <c r="FSN14" s="137" t="s">
        <v>4774</v>
      </c>
      <c r="FSO14" s="137" t="s">
        <v>4775</v>
      </c>
      <c r="FSP14" s="137" t="s">
        <v>4776</v>
      </c>
      <c r="FSQ14" s="137" t="s">
        <v>4777</v>
      </c>
      <c r="FSR14" s="137" t="s">
        <v>4778</v>
      </c>
      <c r="FSS14" s="137" t="s">
        <v>4779</v>
      </c>
      <c r="FST14" s="137" t="s">
        <v>4780</v>
      </c>
      <c r="FSU14" s="137" t="s">
        <v>4781</v>
      </c>
      <c r="FSV14" s="137" t="s">
        <v>4782</v>
      </c>
      <c r="FSW14" s="137" t="s">
        <v>4783</v>
      </c>
      <c r="FSX14" s="137" t="s">
        <v>4784</v>
      </c>
      <c r="FSY14" s="137" t="s">
        <v>4785</v>
      </c>
      <c r="FSZ14" s="137" t="s">
        <v>4786</v>
      </c>
      <c r="FTA14" s="137" t="s">
        <v>4787</v>
      </c>
      <c r="FTB14" s="137" t="s">
        <v>4788</v>
      </c>
      <c r="FTC14" s="137" t="s">
        <v>4789</v>
      </c>
      <c r="FTD14" s="137" t="s">
        <v>4790</v>
      </c>
      <c r="FTE14" s="137" t="s">
        <v>4791</v>
      </c>
      <c r="FTF14" s="137" t="s">
        <v>4792</v>
      </c>
      <c r="FTG14" s="137" t="s">
        <v>4793</v>
      </c>
      <c r="FTH14" s="137" t="s">
        <v>4794</v>
      </c>
      <c r="FTI14" s="137" t="s">
        <v>4795</v>
      </c>
      <c r="FTJ14" s="137" t="s">
        <v>4796</v>
      </c>
      <c r="FTK14" s="137" t="s">
        <v>4797</v>
      </c>
      <c r="FTL14" s="137" t="s">
        <v>4798</v>
      </c>
      <c r="FTM14" s="137" t="s">
        <v>4799</v>
      </c>
      <c r="FTN14" s="137" t="s">
        <v>4800</v>
      </c>
      <c r="FTO14" s="137" t="s">
        <v>4801</v>
      </c>
      <c r="FTP14" s="137" t="s">
        <v>4802</v>
      </c>
      <c r="FTQ14" s="137" t="s">
        <v>4803</v>
      </c>
      <c r="FTR14" s="137" t="s">
        <v>4804</v>
      </c>
      <c r="FTS14" s="137" t="s">
        <v>4805</v>
      </c>
      <c r="FTT14" s="137" t="s">
        <v>4806</v>
      </c>
      <c r="FTU14" s="137" t="s">
        <v>4807</v>
      </c>
      <c r="FTV14" s="137" t="s">
        <v>4808</v>
      </c>
      <c r="FTW14" s="137" t="s">
        <v>4809</v>
      </c>
      <c r="FTX14" s="137" t="s">
        <v>4810</v>
      </c>
      <c r="FTY14" s="137" t="s">
        <v>4811</v>
      </c>
      <c r="FTZ14" s="137" t="s">
        <v>4812</v>
      </c>
      <c r="FUA14" s="137" t="s">
        <v>4813</v>
      </c>
      <c r="FUB14" s="137" t="s">
        <v>4814</v>
      </c>
      <c r="FUC14" s="137" t="s">
        <v>4815</v>
      </c>
      <c r="FUD14" s="137" t="s">
        <v>4816</v>
      </c>
      <c r="FUE14" s="137" t="s">
        <v>4817</v>
      </c>
      <c r="FUF14" s="137" t="s">
        <v>4818</v>
      </c>
      <c r="FUG14" s="137" t="s">
        <v>4819</v>
      </c>
      <c r="FUH14" s="137" t="s">
        <v>4820</v>
      </c>
      <c r="FUI14" s="137" t="s">
        <v>4821</v>
      </c>
      <c r="FUJ14" s="137" t="s">
        <v>4822</v>
      </c>
      <c r="FUK14" s="137" t="s">
        <v>4823</v>
      </c>
      <c r="FUL14" s="137" t="s">
        <v>4824</v>
      </c>
      <c r="FUM14" s="137" t="s">
        <v>4825</v>
      </c>
      <c r="FUN14" s="137" t="s">
        <v>4826</v>
      </c>
      <c r="FUO14" s="137" t="s">
        <v>4827</v>
      </c>
      <c r="FUP14" s="137" t="s">
        <v>4828</v>
      </c>
      <c r="FUQ14" s="137" t="s">
        <v>4829</v>
      </c>
      <c r="FUR14" s="137" t="s">
        <v>4830</v>
      </c>
      <c r="FUS14" s="137" t="s">
        <v>4831</v>
      </c>
      <c r="FUT14" s="137" t="s">
        <v>4832</v>
      </c>
      <c r="FUU14" s="137" t="s">
        <v>4833</v>
      </c>
      <c r="FUV14" s="137" t="s">
        <v>4834</v>
      </c>
      <c r="FUW14" s="137" t="s">
        <v>4835</v>
      </c>
      <c r="FUX14" s="137" t="s">
        <v>4836</v>
      </c>
      <c r="FUY14" s="137" t="s">
        <v>4837</v>
      </c>
      <c r="FUZ14" s="137" t="s">
        <v>4838</v>
      </c>
      <c r="FVA14" s="137" t="s">
        <v>4839</v>
      </c>
      <c r="FVB14" s="137" t="s">
        <v>4840</v>
      </c>
      <c r="FVC14" s="137" t="s">
        <v>4841</v>
      </c>
      <c r="FVD14" s="137" t="s">
        <v>4842</v>
      </c>
      <c r="FVE14" s="137" t="s">
        <v>4843</v>
      </c>
      <c r="FVF14" s="137" t="s">
        <v>4844</v>
      </c>
      <c r="FVG14" s="137" t="s">
        <v>4845</v>
      </c>
      <c r="FVH14" s="137" t="s">
        <v>4846</v>
      </c>
      <c r="FVI14" s="137" t="s">
        <v>4847</v>
      </c>
      <c r="FVJ14" s="137" t="s">
        <v>4848</v>
      </c>
      <c r="FVK14" s="137" t="s">
        <v>4849</v>
      </c>
      <c r="FVL14" s="137" t="s">
        <v>4850</v>
      </c>
      <c r="FVM14" s="137" t="s">
        <v>4851</v>
      </c>
      <c r="FVN14" s="137" t="s">
        <v>4852</v>
      </c>
      <c r="FVO14" s="137" t="s">
        <v>4853</v>
      </c>
      <c r="FVP14" s="137" t="s">
        <v>4854</v>
      </c>
      <c r="FVQ14" s="137" t="s">
        <v>4855</v>
      </c>
      <c r="FVR14" s="137" t="s">
        <v>4856</v>
      </c>
      <c r="FVS14" s="137" t="s">
        <v>4857</v>
      </c>
      <c r="FVT14" s="137" t="s">
        <v>4858</v>
      </c>
      <c r="FVU14" s="137" t="s">
        <v>4859</v>
      </c>
      <c r="FVV14" s="137" t="s">
        <v>4860</v>
      </c>
      <c r="FVW14" s="137" t="s">
        <v>4861</v>
      </c>
      <c r="FVX14" s="137" t="s">
        <v>4862</v>
      </c>
      <c r="FVY14" s="137" t="s">
        <v>4863</v>
      </c>
      <c r="FVZ14" s="137" t="s">
        <v>4864</v>
      </c>
      <c r="FWA14" s="137" t="s">
        <v>4865</v>
      </c>
      <c r="FWB14" s="137" t="s">
        <v>4866</v>
      </c>
      <c r="FWC14" s="137" t="s">
        <v>4867</v>
      </c>
      <c r="FWD14" s="137" t="s">
        <v>4868</v>
      </c>
      <c r="FWE14" s="137" t="s">
        <v>4869</v>
      </c>
      <c r="FWF14" s="137" t="s">
        <v>4870</v>
      </c>
      <c r="FWG14" s="137" t="s">
        <v>4871</v>
      </c>
      <c r="FWH14" s="137" t="s">
        <v>4872</v>
      </c>
      <c r="FWI14" s="137" t="s">
        <v>4873</v>
      </c>
      <c r="FWJ14" s="137" t="s">
        <v>4874</v>
      </c>
      <c r="FWK14" s="137" t="s">
        <v>4875</v>
      </c>
      <c r="FWL14" s="137" t="s">
        <v>4876</v>
      </c>
      <c r="FWM14" s="137" t="s">
        <v>4877</v>
      </c>
      <c r="FWN14" s="137" t="s">
        <v>4878</v>
      </c>
      <c r="FWO14" s="137" t="s">
        <v>4879</v>
      </c>
      <c r="FWP14" s="137" t="s">
        <v>4880</v>
      </c>
      <c r="FWQ14" s="137" t="s">
        <v>4881</v>
      </c>
      <c r="FWR14" s="137" t="s">
        <v>4882</v>
      </c>
      <c r="FWS14" s="137" t="s">
        <v>4883</v>
      </c>
      <c r="FWT14" s="137" t="s">
        <v>4884</v>
      </c>
      <c r="FWU14" s="137" t="s">
        <v>4885</v>
      </c>
      <c r="FWV14" s="137" t="s">
        <v>4886</v>
      </c>
      <c r="FWW14" s="137" t="s">
        <v>4887</v>
      </c>
      <c r="FWX14" s="137" t="s">
        <v>4888</v>
      </c>
      <c r="FWY14" s="137" t="s">
        <v>4889</v>
      </c>
      <c r="FWZ14" s="137" t="s">
        <v>4890</v>
      </c>
      <c r="FXA14" s="137" t="s">
        <v>4891</v>
      </c>
      <c r="FXB14" s="137" t="s">
        <v>4892</v>
      </c>
      <c r="FXC14" s="137" t="s">
        <v>4893</v>
      </c>
      <c r="FXD14" s="137" t="s">
        <v>4894</v>
      </c>
      <c r="FXE14" s="137" t="s">
        <v>4895</v>
      </c>
      <c r="FXF14" s="137" t="s">
        <v>4896</v>
      </c>
      <c r="FXG14" s="137" t="s">
        <v>4897</v>
      </c>
      <c r="FXH14" s="137" t="s">
        <v>4898</v>
      </c>
      <c r="FXI14" s="137" t="s">
        <v>4899</v>
      </c>
      <c r="FXJ14" s="137" t="s">
        <v>4900</v>
      </c>
      <c r="FXK14" s="137" t="s">
        <v>4901</v>
      </c>
      <c r="FXL14" s="137" t="s">
        <v>4902</v>
      </c>
      <c r="FXM14" s="137" t="s">
        <v>4903</v>
      </c>
      <c r="FXN14" s="137" t="s">
        <v>4904</v>
      </c>
      <c r="FXO14" s="137" t="s">
        <v>4905</v>
      </c>
      <c r="FXP14" s="137" t="s">
        <v>4906</v>
      </c>
      <c r="FXQ14" s="137" t="s">
        <v>4907</v>
      </c>
      <c r="FXR14" s="137" t="s">
        <v>4908</v>
      </c>
      <c r="FXS14" s="137" t="s">
        <v>4909</v>
      </c>
      <c r="FXT14" s="137" t="s">
        <v>4910</v>
      </c>
      <c r="FXU14" s="137" t="s">
        <v>4911</v>
      </c>
      <c r="FXV14" s="137" t="s">
        <v>4912</v>
      </c>
      <c r="FXW14" s="137" t="s">
        <v>4913</v>
      </c>
      <c r="FXX14" s="137" t="s">
        <v>4914</v>
      </c>
      <c r="FXY14" s="137" t="s">
        <v>4915</v>
      </c>
      <c r="FXZ14" s="137" t="s">
        <v>4916</v>
      </c>
      <c r="FYA14" s="137" t="s">
        <v>4917</v>
      </c>
      <c r="FYB14" s="137" t="s">
        <v>4918</v>
      </c>
      <c r="FYC14" s="137" t="s">
        <v>4919</v>
      </c>
      <c r="FYD14" s="137" t="s">
        <v>4920</v>
      </c>
      <c r="FYE14" s="137" t="s">
        <v>4921</v>
      </c>
      <c r="FYF14" s="137" t="s">
        <v>4922</v>
      </c>
      <c r="FYG14" s="137" t="s">
        <v>4923</v>
      </c>
      <c r="FYH14" s="137" t="s">
        <v>4924</v>
      </c>
      <c r="FYI14" s="137" t="s">
        <v>4925</v>
      </c>
      <c r="FYJ14" s="137" t="s">
        <v>4926</v>
      </c>
      <c r="FYK14" s="137" t="s">
        <v>4927</v>
      </c>
      <c r="FYL14" s="137" t="s">
        <v>4928</v>
      </c>
      <c r="FYM14" s="137" t="s">
        <v>4929</v>
      </c>
      <c r="FYN14" s="137" t="s">
        <v>4930</v>
      </c>
      <c r="FYO14" s="137" t="s">
        <v>4931</v>
      </c>
      <c r="FYP14" s="137" t="s">
        <v>4932</v>
      </c>
      <c r="FYQ14" s="137" t="s">
        <v>4933</v>
      </c>
      <c r="FYR14" s="137" t="s">
        <v>4934</v>
      </c>
      <c r="FYS14" s="137" t="s">
        <v>4935</v>
      </c>
      <c r="FYT14" s="137" t="s">
        <v>4936</v>
      </c>
      <c r="FYU14" s="137" t="s">
        <v>4937</v>
      </c>
      <c r="FYV14" s="137" t="s">
        <v>4938</v>
      </c>
      <c r="FYW14" s="137" t="s">
        <v>4939</v>
      </c>
      <c r="FYX14" s="137" t="s">
        <v>4940</v>
      </c>
      <c r="FYY14" s="137" t="s">
        <v>4941</v>
      </c>
      <c r="FYZ14" s="137" t="s">
        <v>4942</v>
      </c>
      <c r="FZA14" s="137" t="s">
        <v>4943</v>
      </c>
      <c r="FZB14" s="137" t="s">
        <v>4944</v>
      </c>
      <c r="FZC14" s="137" t="s">
        <v>4945</v>
      </c>
      <c r="FZD14" s="137" t="s">
        <v>4946</v>
      </c>
      <c r="FZE14" s="137" t="s">
        <v>4947</v>
      </c>
      <c r="FZF14" s="137" t="s">
        <v>4948</v>
      </c>
      <c r="FZG14" s="137" t="s">
        <v>4949</v>
      </c>
      <c r="FZH14" s="137" t="s">
        <v>4950</v>
      </c>
      <c r="FZI14" s="137" t="s">
        <v>4951</v>
      </c>
      <c r="FZJ14" s="137" t="s">
        <v>4952</v>
      </c>
      <c r="FZK14" s="137" t="s">
        <v>4953</v>
      </c>
      <c r="FZL14" s="137" t="s">
        <v>4954</v>
      </c>
      <c r="FZM14" s="137" t="s">
        <v>4955</v>
      </c>
      <c r="FZN14" s="137" t="s">
        <v>4956</v>
      </c>
      <c r="FZO14" s="137" t="s">
        <v>4957</v>
      </c>
      <c r="FZP14" s="137" t="s">
        <v>4958</v>
      </c>
      <c r="FZQ14" s="137" t="s">
        <v>4959</v>
      </c>
      <c r="FZR14" s="137" t="s">
        <v>4960</v>
      </c>
      <c r="FZS14" s="137" t="s">
        <v>4961</v>
      </c>
      <c r="FZT14" s="137" t="s">
        <v>4962</v>
      </c>
      <c r="FZU14" s="137" t="s">
        <v>4963</v>
      </c>
      <c r="FZV14" s="137" t="s">
        <v>4964</v>
      </c>
      <c r="FZW14" s="137" t="s">
        <v>4965</v>
      </c>
      <c r="FZX14" s="137" t="s">
        <v>4966</v>
      </c>
      <c r="FZY14" s="137" t="s">
        <v>4967</v>
      </c>
      <c r="FZZ14" s="137" t="s">
        <v>4968</v>
      </c>
      <c r="GAA14" s="137" t="s">
        <v>4969</v>
      </c>
      <c r="GAB14" s="137" t="s">
        <v>4970</v>
      </c>
      <c r="GAC14" s="137" t="s">
        <v>4971</v>
      </c>
      <c r="GAD14" s="137" t="s">
        <v>4972</v>
      </c>
      <c r="GAE14" s="137" t="s">
        <v>4973</v>
      </c>
      <c r="GAF14" s="137" t="s">
        <v>4974</v>
      </c>
      <c r="GAG14" s="137" t="s">
        <v>4975</v>
      </c>
      <c r="GAH14" s="137" t="s">
        <v>4976</v>
      </c>
      <c r="GAI14" s="137" t="s">
        <v>4977</v>
      </c>
      <c r="GAJ14" s="137" t="s">
        <v>4978</v>
      </c>
      <c r="GAK14" s="137" t="s">
        <v>4979</v>
      </c>
      <c r="GAL14" s="137" t="s">
        <v>4980</v>
      </c>
      <c r="GAM14" s="137" t="s">
        <v>4981</v>
      </c>
      <c r="GAN14" s="137" t="s">
        <v>4982</v>
      </c>
      <c r="GAO14" s="137" t="s">
        <v>4983</v>
      </c>
      <c r="GAP14" s="137" t="s">
        <v>4984</v>
      </c>
      <c r="GAQ14" s="137" t="s">
        <v>4985</v>
      </c>
      <c r="GAR14" s="137" t="s">
        <v>4986</v>
      </c>
      <c r="GAS14" s="137" t="s">
        <v>4987</v>
      </c>
      <c r="GAT14" s="137" t="s">
        <v>4988</v>
      </c>
      <c r="GAU14" s="137" t="s">
        <v>4989</v>
      </c>
      <c r="GAV14" s="137" t="s">
        <v>4990</v>
      </c>
      <c r="GAW14" s="137" t="s">
        <v>4991</v>
      </c>
      <c r="GAX14" s="137" t="s">
        <v>4992</v>
      </c>
      <c r="GAY14" s="137" t="s">
        <v>4993</v>
      </c>
      <c r="GAZ14" s="137" t="s">
        <v>4994</v>
      </c>
      <c r="GBA14" s="137" t="s">
        <v>4995</v>
      </c>
      <c r="GBB14" s="137" t="s">
        <v>4996</v>
      </c>
      <c r="GBC14" s="137" t="s">
        <v>4997</v>
      </c>
      <c r="GBD14" s="137" t="s">
        <v>4998</v>
      </c>
      <c r="GBE14" s="137" t="s">
        <v>4999</v>
      </c>
      <c r="GBF14" s="137" t="s">
        <v>5000</v>
      </c>
      <c r="GBG14" s="137" t="s">
        <v>5001</v>
      </c>
      <c r="GBH14" s="137" t="s">
        <v>5002</v>
      </c>
      <c r="GBI14" s="137" t="s">
        <v>5003</v>
      </c>
      <c r="GBJ14" s="137" t="s">
        <v>5004</v>
      </c>
      <c r="GBK14" s="137" t="s">
        <v>5005</v>
      </c>
      <c r="GBL14" s="137" t="s">
        <v>5006</v>
      </c>
      <c r="GBM14" s="137" t="s">
        <v>5007</v>
      </c>
      <c r="GBN14" s="137" t="s">
        <v>5008</v>
      </c>
      <c r="GBO14" s="137" t="s">
        <v>5009</v>
      </c>
      <c r="GBP14" s="137" t="s">
        <v>5010</v>
      </c>
      <c r="GBQ14" s="137" t="s">
        <v>5011</v>
      </c>
      <c r="GBR14" s="137" t="s">
        <v>5012</v>
      </c>
      <c r="GBS14" s="137" t="s">
        <v>5013</v>
      </c>
      <c r="GBT14" s="137" t="s">
        <v>5014</v>
      </c>
      <c r="GBU14" s="137" t="s">
        <v>5015</v>
      </c>
      <c r="GBV14" s="137" t="s">
        <v>5016</v>
      </c>
      <c r="GBW14" s="137" t="s">
        <v>5017</v>
      </c>
      <c r="GBX14" s="137" t="s">
        <v>5018</v>
      </c>
      <c r="GBY14" s="137" t="s">
        <v>5019</v>
      </c>
      <c r="GBZ14" s="137" t="s">
        <v>5020</v>
      </c>
      <c r="GCA14" s="137" t="s">
        <v>5021</v>
      </c>
      <c r="GCB14" s="137" t="s">
        <v>5022</v>
      </c>
      <c r="GCC14" s="137" t="s">
        <v>5023</v>
      </c>
      <c r="GCD14" s="137" t="s">
        <v>5024</v>
      </c>
      <c r="GCE14" s="137" t="s">
        <v>5025</v>
      </c>
      <c r="GCF14" s="137" t="s">
        <v>5026</v>
      </c>
      <c r="GCG14" s="137" t="s">
        <v>5027</v>
      </c>
      <c r="GCH14" s="137" t="s">
        <v>5028</v>
      </c>
      <c r="GCI14" s="137" t="s">
        <v>5029</v>
      </c>
      <c r="GCJ14" s="137" t="s">
        <v>5030</v>
      </c>
      <c r="GCK14" s="137" t="s">
        <v>5031</v>
      </c>
      <c r="GCL14" s="137" t="s">
        <v>5032</v>
      </c>
      <c r="GCM14" s="137" t="s">
        <v>5033</v>
      </c>
      <c r="GCN14" s="137" t="s">
        <v>5034</v>
      </c>
      <c r="GCO14" s="137" t="s">
        <v>5035</v>
      </c>
      <c r="GCP14" s="137" t="s">
        <v>5036</v>
      </c>
      <c r="GCQ14" s="137" t="s">
        <v>5037</v>
      </c>
      <c r="GCR14" s="137" t="s">
        <v>5038</v>
      </c>
      <c r="GCS14" s="137" t="s">
        <v>5039</v>
      </c>
      <c r="GCT14" s="137" t="s">
        <v>5040</v>
      </c>
      <c r="GCU14" s="137" t="s">
        <v>5041</v>
      </c>
      <c r="GCV14" s="137" t="s">
        <v>5042</v>
      </c>
      <c r="GCW14" s="137" t="s">
        <v>5043</v>
      </c>
      <c r="GCX14" s="137" t="s">
        <v>5044</v>
      </c>
      <c r="GCY14" s="137" t="s">
        <v>5045</v>
      </c>
      <c r="GCZ14" s="137" t="s">
        <v>5046</v>
      </c>
      <c r="GDA14" s="137" t="s">
        <v>5047</v>
      </c>
      <c r="GDB14" s="137" t="s">
        <v>5048</v>
      </c>
      <c r="GDC14" s="137" t="s">
        <v>5049</v>
      </c>
      <c r="GDD14" s="137" t="s">
        <v>5050</v>
      </c>
      <c r="GDE14" s="137" t="s">
        <v>5051</v>
      </c>
      <c r="GDF14" s="137" t="s">
        <v>5052</v>
      </c>
      <c r="GDG14" s="137" t="s">
        <v>5053</v>
      </c>
      <c r="GDH14" s="137" t="s">
        <v>5054</v>
      </c>
      <c r="GDI14" s="137" t="s">
        <v>5055</v>
      </c>
      <c r="GDJ14" s="137" t="s">
        <v>5056</v>
      </c>
      <c r="GDK14" s="137" t="s">
        <v>5057</v>
      </c>
      <c r="GDL14" s="137" t="s">
        <v>5058</v>
      </c>
      <c r="GDM14" s="137" t="s">
        <v>5059</v>
      </c>
      <c r="GDN14" s="137" t="s">
        <v>5060</v>
      </c>
      <c r="GDO14" s="137" t="s">
        <v>5061</v>
      </c>
      <c r="GDP14" s="137" t="s">
        <v>5062</v>
      </c>
      <c r="GDQ14" s="137" t="s">
        <v>5063</v>
      </c>
      <c r="GDR14" s="137" t="s">
        <v>5064</v>
      </c>
      <c r="GDS14" s="137" t="s">
        <v>5065</v>
      </c>
      <c r="GDT14" s="137" t="s">
        <v>5066</v>
      </c>
      <c r="GDU14" s="137" t="s">
        <v>5067</v>
      </c>
      <c r="GDV14" s="137" t="s">
        <v>5068</v>
      </c>
      <c r="GDW14" s="137" t="s">
        <v>5069</v>
      </c>
      <c r="GDX14" s="137" t="s">
        <v>5070</v>
      </c>
      <c r="GDY14" s="137" t="s">
        <v>5071</v>
      </c>
      <c r="GDZ14" s="137" t="s">
        <v>5072</v>
      </c>
      <c r="GEA14" s="137" t="s">
        <v>5073</v>
      </c>
      <c r="GEB14" s="137" t="s">
        <v>5074</v>
      </c>
      <c r="GEC14" s="137" t="s">
        <v>5075</v>
      </c>
      <c r="GED14" s="137" t="s">
        <v>5076</v>
      </c>
      <c r="GEE14" s="137" t="s">
        <v>5077</v>
      </c>
      <c r="GEF14" s="137" t="s">
        <v>5078</v>
      </c>
      <c r="GEG14" s="137" t="s">
        <v>5079</v>
      </c>
      <c r="GEH14" s="137" t="s">
        <v>5080</v>
      </c>
      <c r="GEI14" s="137" t="s">
        <v>5081</v>
      </c>
      <c r="GEJ14" s="137" t="s">
        <v>5082</v>
      </c>
      <c r="GEK14" s="137" t="s">
        <v>5083</v>
      </c>
      <c r="GEL14" s="137" t="s">
        <v>5084</v>
      </c>
      <c r="GEM14" s="137" t="s">
        <v>5085</v>
      </c>
      <c r="GEN14" s="137" t="s">
        <v>5086</v>
      </c>
      <c r="GEO14" s="137" t="s">
        <v>5087</v>
      </c>
      <c r="GEP14" s="137" t="s">
        <v>5088</v>
      </c>
      <c r="GEQ14" s="137" t="s">
        <v>5089</v>
      </c>
      <c r="GER14" s="137" t="s">
        <v>5090</v>
      </c>
      <c r="GES14" s="137" t="s">
        <v>5091</v>
      </c>
      <c r="GET14" s="137" t="s">
        <v>5092</v>
      </c>
      <c r="GEU14" s="137" t="s">
        <v>5093</v>
      </c>
      <c r="GEV14" s="137" t="s">
        <v>5094</v>
      </c>
      <c r="GEW14" s="137" t="s">
        <v>5095</v>
      </c>
      <c r="GEX14" s="137" t="s">
        <v>5096</v>
      </c>
      <c r="GEY14" s="137" t="s">
        <v>5097</v>
      </c>
      <c r="GEZ14" s="137" t="s">
        <v>5098</v>
      </c>
      <c r="GFA14" s="137" t="s">
        <v>5099</v>
      </c>
      <c r="GFB14" s="137" t="s">
        <v>5100</v>
      </c>
      <c r="GFC14" s="137" t="s">
        <v>5101</v>
      </c>
      <c r="GFD14" s="137" t="s">
        <v>5102</v>
      </c>
      <c r="GFE14" s="137" t="s">
        <v>5103</v>
      </c>
      <c r="GFF14" s="137" t="s">
        <v>5104</v>
      </c>
      <c r="GFG14" s="137" t="s">
        <v>5105</v>
      </c>
      <c r="GFH14" s="137" t="s">
        <v>5106</v>
      </c>
      <c r="GFI14" s="137" t="s">
        <v>5107</v>
      </c>
      <c r="GFJ14" s="137" t="s">
        <v>5108</v>
      </c>
      <c r="GFK14" s="137" t="s">
        <v>5109</v>
      </c>
      <c r="GFL14" s="137" t="s">
        <v>5110</v>
      </c>
      <c r="GFM14" s="137" t="s">
        <v>5111</v>
      </c>
      <c r="GFN14" s="137" t="s">
        <v>5112</v>
      </c>
      <c r="GFO14" s="137" t="s">
        <v>5113</v>
      </c>
      <c r="GFP14" s="137" t="s">
        <v>5114</v>
      </c>
      <c r="GFQ14" s="137" t="s">
        <v>5115</v>
      </c>
      <c r="GFR14" s="137" t="s">
        <v>5116</v>
      </c>
      <c r="GFS14" s="137" t="s">
        <v>5117</v>
      </c>
      <c r="GFT14" s="137" t="s">
        <v>5118</v>
      </c>
      <c r="GFU14" s="137" t="s">
        <v>5119</v>
      </c>
      <c r="GFV14" s="137" t="s">
        <v>5120</v>
      </c>
      <c r="GFW14" s="137" t="s">
        <v>5121</v>
      </c>
      <c r="GFX14" s="137" t="s">
        <v>5122</v>
      </c>
      <c r="GFY14" s="137" t="s">
        <v>5123</v>
      </c>
      <c r="GFZ14" s="137" t="s">
        <v>5124</v>
      </c>
      <c r="GGA14" s="137" t="s">
        <v>5125</v>
      </c>
      <c r="GGB14" s="137" t="s">
        <v>5126</v>
      </c>
      <c r="GGC14" s="137" t="s">
        <v>5127</v>
      </c>
      <c r="GGD14" s="137" t="s">
        <v>5128</v>
      </c>
      <c r="GGE14" s="137" t="s">
        <v>5129</v>
      </c>
      <c r="GGF14" s="137" t="s">
        <v>5130</v>
      </c>
      <c r="GGG14" s="137" t="s">
        <v>5131</v>
      </c>
      <c r="GGH14" s="137" t="s">
        <v>5132</v>
      </c>
      <c r="GGI14" s="137" t="s">
        <v>5133</v>
      </c>
      <c r="GGJ14" s="137" t="s">
        <v>5134</v>
      </c>
      <c r="GGK14" s="137" t="s">
        <v>5135</v>
      </c>
      <c r="GGL14" s="137" t="s">
        <v>5136</v>
      </c>
      <c r="GGM14" s="137" t="s">
        <v>5137</v>
      </c>
      <c r="GGN14" s="137" t="s">
        <v>5138</v>
      </c>
      <c r="GGO14" s="137" t="s">
        <v>5139</v>
      </c>
      <c r="GGP14" s="137" t="s">
        <v>5140</v>
      </c>
      <c r="GGQ14" s="137" t="s">
        <v>5141</v>
      </c>
      <c r="GGR14" s="137" t="s">
        <v>5142</v>
      </c>
      <c r="GGS14" s="137" t="s">
        <v>5143</v>
      </c>
      <c r="GGT14" s="137" t="s">
        <v>5144</v>
      </c>
      <c r="GGU14" s="137" t="s">
        <v>5145</v>
      </c>
      <c r="GGV14" s="137" t="s">
        <v>5146</v>
      </c>
      <c r="GGW14" s="137" t="s">
        <v>5147</v>
      </c>
      <c r="GGX14" s="137" t="s">
        <v>5148</v>
      </c>
      <c r="GGY14" s="137" t="s">
        <v>5149</v>
      </c>
      <c r="GGZ14" s="137" t="s">
        <v>5150</v>
      </c>
      <c r="GHA14" s="137" t="s">
        <v>5151</v>
      </c>
      <c r="GHB14" s="137" t="s">
        <v>5152</v>
      </c>
      <c r="GHC14" s="137" t="s">
        <v>5153</v>
      </c>
      <c r="GHD14" s="137" t="s">
        <v>5154</v>
      </c>
      <c r="GHE14" s="137" t="s">
        <v>5155</v>
      </c>
      <c r="GHF14" s="137" t="s">
        <v>5156</v>
      </c>
      <c r="GHG14" s="137" t="s">
        <v>5157</v>
      </c>
      <c r="GHH14" s="137" t="s">
        <v>5158</v>
      </c>
      <c r="GHI14" s="137" t="s">
        <v>5159</v>
      </c>
      <c r="GHJ14" s="137" t="s">
        <v>5160</v>
      </c>
      <c r="GHK14" s="137" t="s">
        <v>5161</v>
      </c>
      <c r="GHL14" s="137" t="s">
        <v>5162</v>
      </c>
      <c r="GHM14" s="137" t="s">
        <v>5163</v>
      </c>
      <c r="GHN14" s="137" t="s">
        <v>5164</v>
      </c>
      <c r="GHO14" s="137" t="s">
        <v>5165</v>
      </c>
      <c r="GHP14" s="137" t="s">
        <v>5166</v>
      </c>
      <c r="GHQ14" s="137" t="s">
        <v>5167</v>
      </c>
      <c r="GHR14" s="137" t="s">
        <v>5168</v>
      </c>
      <c r="GHS14" s="137" t="s">
        <v>5169</v>
      </c>
      <c r="GHT14" s="137" t="s">
        <v>5170</v>
      </c>
      <c r="GHU14" s="137" t="s">
        <v>5171</v>
      </c>
      <c r="GHV14" s="137" t="s">
        <v>5172</v>
      </c>
      <c r="GHW14" s="137" t="s">
        <v>5173</v>
      </c>
      <c r="GHX14" s="137" t="s">
        <v>5174</v>
      </c>
      <c r="GHY14" s="137" t="s">
        <v>5175</v>
      </c>
      <c r="GHZ14" s="137" t="s">
        <v>5176</v>
      </c>
      <c r="GIA14" s="137" t="s">
        <v>5177</v>
      </c>
      <c r="GIB14" s="137" t="s">
        <v>5178</v>
      </c>
      <c r="GIC14" s="137" t="s">
        <v>5179</v>
      </c>
      <c r="GID14" s="137" t="s">
        <v>5180</v>
      </c>
      <c r="GIE14" s="137" t="s">
        <v>5181</v>
      </c>
      <c r="GIF14" s="137" t="s">
        <v>5182</v>
      </c>
      <c r="GIG14" s="137" t="s">
        <v>5183</v>
      </c>
      <c r="GIH14" s="137" t="s">
        <v>5184</v>
      </c>
      <c r="GII14" s="137" t="s">
        <v>5185</v>
      </c>
      <c r="GIJ14" s="137" t="s">
        <v>5186</v>
      </c>
      <c r="GIK14" s="137" t="s">
        <v>5187</v>
      </c>
      <c r="GIL14" s="137" t="s">
        <v>5188</v>
      </c>
      <c r="GIM14" s="137" t="s">
        <v>5189</v>
      </c>
      <c r="GIN14" s="137" t="s">
        <v>5190</v>
      </c>
      <c r="GIO14" s="137" t="s">
        <v>5191</v>
      </c>
      <c r="GIP14" s="137" t="s">
        <v>5192</v>
      </c>
      <c r="GIQ14" s="137" t="s">
        <v>5193</v>
      </c>
      <c r="GIR14" s="137" t="s">
        <v>5194</v>
      </c>
      <c r="GIS14" s="137" t="s">
        <v>5195</v>
      </c>
      <c r="GIT14" s="137" t="s">
        <v>5196</v>
      </c>
      <c r="GIU14" s="137" t="s">
        <v>5197</v>
      </c>
      <c r="GIV14" s="137" t="s">
        <v>5198</v>
      </c>
      <c r="GIW14" s="137" t="s">
        <v>5199</v>
      </c>
      <c r="GIX14" s="137" t="s">
        <v>5200</v>
      </c>
      <c r="GIY14" s="137" t="s">
        <v>5201</v>
      </c>
      <c r="GIZ14" s="137" t="s">
        <v>5202</v>
      </c>
      <c r="GJA14" s="137" t="s">
        <v>5203</v>
      </c>
      <c r="GJB14" s="137" t="s">
        <v>5204</v>
      </c>
      <c r="GJC14" s="137" t="s">
        <v>5205</v>
      </c>
      <c r="GJD14" s="137" t="s">
        <v>5206</v>
      </c>
      <c r="GJE14" s="137" t="s">
        <v>5207</v>
      </c>
      <c r="GJF14" s="137" t="s">
        <v>5208</v>
      </c>
      <c r="GJG14" s="137" t="s">
        <v>5209</v>
      </c>
      <c r="GJH14" s="137" t="s">
        <v>5210</v>
      </c>
      <c r="GJI14" s="137" t="s">
        <v>5211</v>
      </c>
      <c r="GJJ14" s="137" t="s">
        <v>5212</v>
      </c>
      <c r="GJK14" s="137" t="s">
        <v>5213</v>
      </c>
      <c r="GJL14" s="137" t="s">
        <v>5214</v>
      </c>
      <c r="GJM14" s="137" t="s">
        <v>5215</v>
      </c>
      <c r="GJN14" s="137" t="s">
        <v>5216</v>
      </c>
      <c r="GJO14" s="137" t="s">
        <v>5217</v>
      </c>
      <c r="GJP14" s="137" t="s">
        <v>5218</v>
      </c>
      <c r="GJQ14" s="137" t="s">
        <v>5219</v>
      </c>
      <c r="GJR14" s="137" t="s">
        <v>5220</v>
      </c>
      <c r="GJS14" s="137" t="s">
        <v>5221</v>
      </c>
      <c r="GJT14" s="137" t="s">
        <v>5222</v>
      </c>
      <c r="GJU14" s="137" t="s">
        <v>5223</v>
      </c>
      <c r="GJV14" s="137" t="s">
        <v>5224</v>
      </c>
      <c r="GJW14" s="137" t="s">
        <v>5225</v>
      </c>
      <c r="GJX14" s="137" t="s">
        <v>5226</v>
      </c>
      <c r="GJY14" s="137" t="s">
        <v>5227</v>
      </c>
      <c r="GJZ14" s="137" t="s">
        <v>5228</v>
      </c>
      <c r="GKA14" s="137" t="s">
        <v>5229</v>
      </c>
      <c r="GKB14" s="137" t="s">
        <v>5230</v>
      </c>
      <c r="GKC14" s="137" t="s">
        <v>5231</v>
      </c>
      <c r="GKD14" s="137" t="s">
        <v>5232</v>
      </c>
      <c r="GKE14" s="137" t="s">
        <v>5233</v>
      </c>
      <c r="GKF14" s="137" t="s">
        <v>5234</v>
      </c>
      <c r="GKG14" s="137" t="s">
        <v>5235</v>
      </c>
      <c r="GKH14" s="137" t="s">
        <v>5236</v>
      </c>
      <c r="GKI14" s="137" t="s">
        <v>5237</v>
      </c>
      <c r="GKJ14" s="137" t="s">
        <v>5238</v>
      </c>
      <c r="GKK14" s="137" t="s">
        <v>5239</v>
      </c>
      <c r="GKL14" s="137" t="s">
        <v>5240</v>
      </c>
      <c r="GKM14" s="137" t="s">
        <v>5241</v>
      </c>
      <c r="GKN14" s="137" t="s">
        <v>5242</v>
      </c>
      <c r="GKO14" s="137" t="s">
        <v>5243</v>
      </c>
      <c r="GKP14" s="137" t="s">
        <v>5244</v>
      </c>
      <c r="GKQ14" s="137" t="s">
        <v>5245</v>
      </c>
      <c r="GKR14" s="137" t="s">
        <v>5246</v>
      </c>
      <c r="GKS14" s="137" t="s">
        <v>5247</v>
      </c>
      <c r="GKT14" s="137" t="s">
        <v>5248</v>
      </c>
      <c r="GKU14" s="137" t="s">
        <v>5249</v>
      </c>
      <c r="GKV14" s="137" t="s">
        <v>5250</v>
      </c>
      <c r="GKW14" s="137" t="s">
        <v>5251</v>
      </c>
      <c r="GKX14" s="137" t="s">
        <v>5252</v>
      </c>
      <c r="GKY14" s="137" t="s">
        <v>5253</v>
      </c>
      <c r="GKZ14" s="137" t="s">
        <v>5254</v>
      </c>
      <c r="GLA14" s="137" t="s">
        <v>5255</v>
      </c>
      <c r="GLB14" s="137" t="s">
        <v>5256</v>
      </c>
      <c r="GLC14" s="137" t="s">
        <v>5257</v>
      </c>
      <c r="GLD14" s="137" t="s">
        <v>5258</v>
      </c>
      <c r="GLE14" s="137" t="s">
        <v>5259</v>
      </c>
      <c r="GLF14" s="137" t="s">
        <v>5260</v>
      </c>
      <c r="GLG14" s="137" t="s">
        <v>5261</v>
      </c>
      <c r="GLH14" s="137" t="s">
        <v>5262</v>
      </c>
      <c r="GLI14" s="137" t="s">
        <v>5263</v>
      </c>
      <c r="GLJ14" s="137" t="s">
        <v>5264</v>
      </c>
      <c r="GLK14" s="137" t="s">
        <v>5265</v>
      </c>
      <c r="GLL14" s="137" t="s">
        <v>5266</v>
      </c>
      <c r="GLM14" s="137" t="s">
        <v>5267</v>
      </c>
      <c r="GLN14" s="137" t="s">
        <v>5268</v>
      </c>
      <c r="GLO14" s="137" t="s">
        <v>5269</v>
      </c>
      <c r="GLP14" s="137" t="s">
        <v>5270</v>
      </c>
      <c r="GLQ14" s="137" t="s">
        <v>5271</v>
      </c>
      <c r="GLR14" s="137" t="s">
        <v>5272</v>
      </c>
      <c r="GLS14" s="137" t="s">
        <v>5273</v>
      </c>
      <c r="GLT14" s="137" t="s">
        <v>5274</v>
      </c>
      <c r="GLU14" s="137" t="s">
        <v>5275</v>
      </c>
      <c r="GLV14" s="137" t="s">
        <v>5276</v>
      </c>
      <c r="GLW14" s="137" t="s">
        <v>5277</v>
      </c>
      <c r="GLX14" s="137" t="s">
        <v>5278</v>
      </c>
      <c r="GLY14" s="137" t="s">
        <v>5279</v>
      </c>
      <c r="GLZ14" s="137" t="s">
        <v>5280</v>
      </c>
      <c r="GMA14" s="137" t="s">
        <v>5281</v>
      </c>
      <c r="GMB14" s="137" t="s">
        <v>5282</v>
      </c>
      <c r="GMC14" s="137" t="s">
        <v>5283</v>
      </c>
      <c r="GMD14" s="137" t="s">
        <v>5284</v>
      </c>
      <c r="GME14" s="137" t="s">
        <v>5285</v>
      </c>
      <c r="GMF14" s="137" t="s">
        <v>5286</v>
      </c>
      <c r="GMG14" s="137" t="s">
        <v>5287</v>
      </c>
      <c r="GMH14" s="137" t="s">
        <v>5288</v>
      </c>
      <c r="GMI14" s="137" t="s">
        <v>5289</v>
      </c>
      <c r="GMJ14" s="137" t="s">
        <v>5290</v>
      </c>
      <c r="GMK14" s="137" t="s">
        <v>5291</v>
      </c>
      <c r="GML14" s="137" t="s">
        <v>5292</v>
      </c>
      <c r="GMM14" s="137" t="s">
        <v>5293</v>
      </c>
      <c r="GMN14" s="137" t="s">
        <v>5294</v>
      </c>
      <c r="GMO14" s="137" t="s">
        <v>5295</v>
      </c>
      <c r="GMP14" s="137" t="s">
        <v>5296</v>
      </c>
      <c r="GMQ14" s="137" t="s">
        <v>5297</v>
      </c>
      <c r="GMR14" s="137" t="s">
        <v>5298</v>
      </c>
      <c r="GMS14" s="137" t="s">
        <v>5299</v>
      </c>
      <c r="GMT14" s="137" t="s">
        <v>5300</v>
      </c>
      <c r="GMU14" s="137" t="s">
        <v>5301</v>
      </c>
      <c r="GMV14" s="137" t="s">
        <v>5302</v>
      </c>
      <c r="GMW14" s="137" t="s">
        <v>5303</v>
      </c>
      <c r="GMX14" s="137" t="s">
        <v>5304</v>
      </c>
      <c r="GMY14" s="137" t="s">
        <v>5305</v>
      </c>
      <c r="GMZ14" s="137" t="s">
        <v>5306</v>
      </c>
      <c r="GNA14" s="137" t="s">
        <v>5307</v>
      </c>
      <c r="GNB14" s="137" t="s">
        <v>5308</v>
      </c>
      <c r="GNC14" s="137" t="s">
        <v>5309</v>
      </c>
      <c r="GND14" s="137" t="s">
        <v>5310</v>
      </c>
      <c r="GNE14" s="137" t="s">
        <v>5311</v>
      </c>
      <c r="GNF14" s="137" t="s">
        <v>5312</v>
      </c>
      <c r="GNG14" s="137" t="s">
        <v>5313</v>
      </c>
      <c r="GNH14" s="137" t="s">
        <v>5314</v>
      </c>
      <c r="GNI14" s="137" t="s">
        <v>5315</v>
      </c>
      <c r="GNJ14" s="137" t="s">
        <v>5316</v>
      </c>
      <c r="GNK14" s="137" t="s">
        <v>5317</v>
      </c>
      <c r="GNL14" s="137" t="s">
        <v>5318</v>
      </c>
      <c r="GNM14" s="137" t="s">
        <v>5319</v>
      </c>
      <c r="GNN14" s="137" t="s">
        <v>5320</v>
      </c>
      <c r="GNO14" s="137" t="s">
        <v>5321</v>
      </c>
      <c r="GNP14" s="137" t="s">
        <v>5322</v>
      </c>
      <c r="GNQ14" s="137" t="s">
        <v>5323</v>
      </c>
      <c r="GNR14" s="137" t="s">
        <v>5324</v>
      </c>
      <c r="GNS14" s="137" t="s">
        <v>5325</v>
      </c>
      <c r="GNT14" s="137" t="s">
        <v>5326</v>
      </c>
      <c r="GNU14" s="137" t="s">
        <v>5327</v>
      </c>
      <c r="GNV14" s="137" t="s">
        <v>5328</v>
      </c>
      <c r="GNW14" s="137" t="s">
        <v>5329</v>
      </c>
      <c r="GNX14" s="137" t="s">
        <v>5330</v>
      </c>
      <c r="GNY14" s="137" t="s">
        <v>5331</v>
      </c>
      <c r="GNZ14" s="137" t="s">
        <v>5332</v>
      </c>
      <c r="GOA14" s="137" t="s">
        <v>5333</v>
      </c>
      <c r="GOB14" s="137" t="s">
        <v>5334</v>
      </c>
      <c r="GOC14" s="137" t="s">
        <v>5335</v>
      </c>
      <c r="GOD14" s="137" t="s">
        <v>5336</v>
      </c>
      <c r="GOE14" s="137" t="s">
        <v>5337</v>
      </c>
      <c r="GOF14" s="137" t="s">
        <v>5338</v>
      </c>
      <c r="GOG14" s="137" t="s">
        <v>5339</v>
      </c>
      <c r="GOH14" s="137" t="s">
        <v>5340</v>
      </c>
      <c r="GOI14" s="137" t="s">
        <v>5341</v>
      </c>
      <c r="GOJ14" s="137" t="s">
        <v>5342</v>
      </c>
      <c r="GOK14" s="137" t="s">
        <v>5343</v>
      </c>
      <c r="GOL14" s="137" t="s">
        <v>5344</v>
      </c>
      <c r="GOM14" s="137" t="s">
        <v>5345</v>
      </c>
      <c r="GON14" s="137" t="s">
        <v>5346</v>
      </c>
      <c r="GOO14" s="137" t="s">
        <v>5347</v>
      </c>
      <c r="GOP14" s="137" t="s">
        <v>5348</v>
      </c>
      <c r="GOQ14" s="137" t="s">
        <v>5349</v>
      </c>
      <c r="GOR14" s="137" t="s">
        <v>5350</v>
      </c>
      <c r="GOS14" s="137" t="s">
        <v>5351</v>
      </c>
      <c r="GOT14" s="137" t="s">
        <v>5352</v>
      </c>
      <c r="GOU14" s="137" t="s">
        <v>5353</v>
      </c>
      <c r="GOV14" s="137" t="s">
        <v>5354</v>
      </c>
      <c r="GOW14" s="137" t="s">
        <v>5355</v>
      </c>
      <c r="GOX14" s="137" t="s">
        <v>5356</v>
      </c>
      <c r="GOY14" s="137" t="s">
        <v>5357</v>
      </c>
      <c r="GOZ14" s="137" t="s">
        <v>5358</v>
      </c>
      <c r="GPA14" s="137" t="s">
        <v>5359</v>
      </c>
      <c r="GPB14" s="137" t="s">
        <v>5360</v>
      </c>
      <c r="GPC14" s="137" t="s">
        <v>5361</v>
      </c>
      <c r="GPD14" s="137" t="s">
        <v>5362</v>
      </c>
      <c r="GPE14" s="137" t="s">
        <v>5363</v>
      </c>
      <c r="GPF14" s="137" t="s">
        <v>5364</v>
      </c>
      <c r="GPG14" s="137" t="s">
        <v>5365</v>
      </c>
      <c r="GPH14" s="137" t="s">
        <v>5366</v>
      </c>
      <c r="GPI14" s="137" t="s">
        <v>5367</v>
      </c>
      <c r="GPJ14" s="137" t="s">
        <v>5368</v>
      </c>
      <c r="GPK14" s="137" t="s">
        <v>5369</v>
      </c>
      <c r="GPL14" s="137" t="s">
        <v>5370</v>
      </c>
      <c r="GPM14" s="137" t="s">
        <v>5371</v>
      </c>
      <c r="GPN14" s="137" t="s">
        <v>5372</v>
      </c>
      <c r="GPO14" s="137" t="s">
        <v>5373</v>
      </c>
      <c r="GPP14" s="137" t="s">
        <v>5374</v>
      </c>
      <c r="GPQ14" s="137" t="s">
        <v>5375</v>
      </c>
      <c r="GPR14" s="137" t="s">
        <v>5376</v>
      </c>
      <c r="GPS14" s="137" t="s">
        <v>5377</v>
      </c>
      <c r="GPT14" s="137" t="s">
        <v>5378</v>
      </c>
      <c r="GPU14" s="137" t="s">
        <v>5379</v>
      </c>
      <c r="GPV14" s="137" t="s">
        <v>5380</v>
      </c>
      <c r="GPW14" s="137" t="s">
        <v>5381</v>
      </c>
      <c r="GPX14" s="137" t="s">
        <v>5382</v>
      </c>
      <c r="GPY14" s="137" t="s">
        <v>5383</v>
      </c>
      <c r="GPZ14" s="137" t="s">
        <v>5384</v>
      </c>
      <c r="GQA14" s="137" t="s">
        <v>5385</v>
      </c>
      <c r="GQB14" s="137" t="s">
        <v>5386</v>
      </c>
      <c r="GQC14" s="137" t="s">
        <v>5387</v>
      </c>
      <c r="GQD14" s="137" t="s">
        <v>5388</v>
      </c>
      <c r="GQE14" s="137" t="s">
        <v>5389</v>
      </c>
      <c r="GQF14" s="137" t="s">
        <v>5390</v>
      </c>
      <c r="GQG14" s="137" t="s">
        <v>5391</v>
      </c>
      <c r="GQH14" s="137" t="s">
        <v>5392</v>
      </c>
      <c r="GQI14" s="137" t="s">
        <v>5393</v>
      </c>
      <c r="GQJ14" s="137" t="s">
        <v>5394</v>
      </c>
      <c r="GQK14" s="137" t="s">
        <v>5395</v>
      </c>
      <c r="GQL14" s="137" t="s">
        <v>5396</v>
      </c>
      <c r="GQM14" s="137" t="s">
        <v>5397</v>
      </c>
      <c r="GQN14" s="137" t="s">
        <v>5398</v>
      </c>
      <c r="GQO14" s="137" t="s">
        <v>5399</v>
      </c>
      <c r="GQP14" s="137" t="s">
        <v>5400</v>
      </c>
      <c r="GQQ14" s="137" t="s">
        <v>5401</v>
      </c>
      <c r="GQR14" s="137" t="s">
        <v>5402</v>
      </c>
      <c r="GQS14" s="137" t="s">
        <v>5403</v>
      </c>
      <c r="GQT14" s="137" t="s">
        <v>5404</v>
      </c>
      <c r="GQU14" s="137" t="s">
        <v>5405</v>
      </c>
      <c r="GQV14" s="137" t="s">
        <v>5406</v>
      </c>
      <c r="GQW14" s="137" t="s">
        <v>5407</v>
      </c>
      <c r="GQX14" s="137" t="s">
        <v>5408</v>
      </c>
      <c r="GQY14" s="137" t="s">
        <v>5409</v>
      </c>
      <c r="GQZ14" s="137" t="s">
        <v>5410</v>
      </c>
      <c r="GRA14" s="137" t="s">
        <v>5411</v>
      </c>
      <c r="GRB14" s="137" t="s">
        <v>5412</v>
      </c>
      <c r="GRC14" s="137" t="s">
        <v>5413</v>
      </c>
      <c r="GRD14" s="137" t="s">
        <v>5414</v>
      </c>
      <c r="GRE14" s="137" t="s">
        <v>5415</v>
      </c>
      <c r="GRF14" s="137" t="s">
        <v>5416</v>
      </c>
      <c r="GRG14" s="137" t="s">
        <v>5417</v>
      </c>
      <c r="GRH14" s="137" t="s">
        <v>5418</v>
      </c>
      <c r="GRI14" s="137" t="s">
        <v>5419</v>
      </c>
      <c r="GRJ14" s="137" t="s">
        <v>5420</v>
      </c>
      <c r="GRK14" s="137" t="s">
        <v>5421</v>
      </c>
      <c r="GRL14" s="137" t="s">
        <v>5422</v>
      </c>
      <c r="GRM14" s="137" t="s">
        <v>5423</v>
      </c>
      <c r="GRN14" s="137" t="s">
        <v>5424</v>
      </c>
      <c r="GRO14" s="137" t="s">
        <v>5425</v>
      </c>
      <c r="GRP14" s="137" t="s">
        <v>5426</v>
      </c>
      <c r="GRQ14" s="137" t="s">
        <v>5427</v>
      </c>
      <c r="GRR14" s="137" t="s">
        <v>5428</v>
      </c>
      <c r="GRS14" s="137" t="s">
        <v>5429</v>
      </c>
      <c r="GRT14" s="137" t="s">
        <v>5430</v>
      </c>
      <c r="GRU14" s="137" t="s">
        <v>5431</v>
      </c>
      <c r="GRV14" s="137" t="s">
        <v>5432</v>
      </c>
      <c r="GRW14" s="137" t="s">
        <v>5433</v>
      </c>
      <c r="GRX14" s="137" t="s">
        <v>5434</v>
      </c>
      <c r="GRY14" s="137" t="s">
        <v>5435</v>
      </c>
      <c r="GRZ14" s="137" t="s">
        <v>5436</v>
      </c>
      <c r="GSA14" s="137" t="s">
        <v>5437</v>
      </c>
      <c r="GSB14" s="137" t="s">
        <v>5438</v>
      </c>
      <c r="GSC14" s="137" t="s">
        <v>5439</v>
      </c>
      <c r="GSD14" s="137" t="s">
        <v>5440</v>
      </c>
      <c r="GSE14" s="137" t="s">
        <v>5441</v>
      </c>
      <c r="GSF14" s="137" t="s">
        <v>5442</v>
      </c>
      <c r="GSG14" s="137" t="s">
        <v>5443</v>
      </c>
      <c r="GSH14" s="137" t="s">
        <v>5444</v>
      </c>
      <c r="GSI14" s="137" t="s">
        <v>5445</v>
      </c>
      <c r="GSJ14" s="137" t="s">
        <v>5446</v>
      </c>
      <c r="GSK14" s="137" t="s">
        <v>5447</v>
      </c>
      <c r="GSL14" s="137" t="s">
        <v>5448</v>
      </c>
      <c r="GSM14" s="137" t="s">
        <v>5449</v>
      </c>
      <c r="GSN14" s="137" t="s">
        <v>5450</v>
      </c>
      <c r="GSO14" s="137" t="s">
        <v>5451</v>
      </c>
      <c r="GSP14" s="137" t="s">
        <v>5452</v>
      </c>
      <c r="GSQ14" s="137" t="s">
        <v>5453</v>
      </c>
      <c r="GSR14" s="137" t="s">
        <v>5454</v>
      </c>
      <c r="GSS14" s="137" t="s">
        <v>5455</v>
      </c>
      <c r="GST14" s="137" t="s">
        <v>5456</v>
      </c>
      <c r="GSU14" s="137" t="s">
        <v>5457</v>
      </c>
      <c r="GSV14" s="137" t="s">
        <v>5458</v>
      </c>
      <c r="GSW14" s="137" t="s">
        <v>5459</v>
      </c>
      <c r="GSX14" s="137" t="s">
        <v>5460</v>
      </c>
      <c r="GSY14" s="137" t="s">
        <v>5461</v>
      </c>
      <c r="GSZ14" s="137" t="s">
        <v>5462</v>
      </c>
      <c r="GTA14" s="137" t="s">
        <v>5463</v>
      </c>
      <c r="GTB14" s="137" t="s">
        <v>5464</v>
      </c>
      <c r="GTC14" s="137" t="s">
        <v>5465</v>
      </c>
      <c r="GTD14" s="137" t="s">
        <v>5466</v>
      </c>
      <c r="GTE14" s="137" t="s">
        <v>5467</v>
      </c>
      <c r="GTF14" s="137" t="s">
        <v>5468</v>
      </c>
      <c r="GTG14" s="137" t="s">
        <v>5469</v>
      </c>
      <c r="GTH14" s="137" t="s">
        <v>5470</v>
      </c>
      <c r="GTI14" s="137" t="s">
        <v>5471</v>
      </c>
      <c r="GTJ14" s="137" t="s">
        <v>5472</v>
      </c>
      <c r="GTK14" s="137" t="s">
        <v>5473</v>
      </c>
      <c r="GTL14" s="137" t="s">
        <v>5474</v>
      </c>
      <c r="GTM14" s="137" t="s">
        <v>5475</v>
      </c>
      <c r="GTN14" s="137" t="s">
        <v>5476</v>
      </c>
      <c r="GTO14" s="137" t="s">
        <v>5477</v>
      </c>
      <c r="GTP14" s="137" t="s">
        <v>5478</v>
      </c>
      <c r="GTQ14" s="137" t="s">
        <v>5479</v>
      </c>
      <c r="GTR14" s="137" t="s">
        <v>5480</v>
      </c>
      <c r="GTS14" s="137" t="s">
        <v>5481</v>
      </c>
      <c r="GTT14" s="137" t="s">
        <v>5482</v>
      </c>
      <c r="GTU14" s="137" t="s">
        <v>5483</v>
      </c>
      <c r="GTV14" s="137" t="s">
        <v>5484</v>
      </c>
      <c r="GTW14" s="137" t="s">
        <v>5485</v>
      </c>
      <c r="GTX14" s="137" t="s">
        <v>5486</v>
      </c>
      <c r="GTY14" s="137" t="s">
        <v>5487</v>
      </c>
      <c r="GTZ14" s="137" t="s">
        <v>5488</v>
      </c>
      <c r="GUA14" s="137" t="s">
        <v>5489</v>
      </c>
      <c r="GUB14" s="137" t="s">
        <v>5490</v>
      </c>
      <c r="GUC14" s="137" t="s">
        <v>5491</v>
      </c>
      <c r="GUD14" s="137" t="s">
        <v>5492</v>
      </c>
      <c r="GUE14" s="137" t="s">
        <v>5493</v>
      </c>
      <c r="GUF14" s="137" t="s">
        <v>5494</v>
      </c>
      <c r="GUG14" s="137" t="s">
        <v>5495</v>
      </c>
      <c r="GUH14" s="137" t="s">
        <v>5496</v>
      </c>
      <c r="GUI14" s="137" t="s">
        <v>5497</v>
      </c>
      <c r="GUJ14" s="137" t="s">
        <v>5498</v>
      </c>
      <c r="GUK14" s="137" t="s">
        <v>5499</v>
      </c>
      <c r="GUL14" s="137" t="s">
        <v>5500</v>
      </c>
      <c r="GUM14" s="137" t="s">
        <v>5501</v>
      </c>
      <c r="GUN14" s="137" t="s">
        <v>5502</v>
      </c>
      <c r="GUO14" s="137" t="s">
        <v>5503</v>
      </c>
      <c r="GUP14" s="137" t="s">
        <v>5504</v>
      </c>
      <c r="GUQ14" s="137" t="s">
        <v>5505</v>
      </c>
      <c r="GUR14" s="137" t="s">
        <v>5506</v>
      </c>
      <c r="GUS14" s="137" t="s">
        <v>5507</v>
      </c>
      <c r="GUT14" s="137" t="s">
        <v>5508</v>
      </c>
      <c r="GUU14" s="137" t="s">
        <v>5509</v>
      </c>
      <c r="GUV14" s="137" t="s">
        <v>5510</v>
      </c>
      <c r="GUW14" s="137" t="s">
        <v>5511</v>
      </c>
      <c r="GUX14" s="137" t="s">
        <v>5512</v>
      </c>
      <c r="GUY14" s="137" t="s">
        <v>5513</v>
      </c>
      <c r="GUZ14" s="137" t="s">
        <v>5514</v>
      </c>
      <c r="GVA14" s="137" t="s">
        <v>5515</v>
      </c>
      <c r="GVB14" s="137" t="s">
        <v>5516</v>
      </c>
      <c r="GVC14" s="137" t="s">
        <v>5517</v>
      </c>
      <c r="GVD14" s="137" t="s">
        <v>5518</v>
      </c>
      <c r="GVE14" s="137" t="s">
        <v>5519</v>
      </c>
      <c r="GVF14" s="137" t="s">
        <v>5520</v>
      </c>
      <c r="GVG14" s="137" t="s">
        <v>5521</v>
      </c>
      <c r="GVH14" s="137" t="s">
        <v>5522</v>
      </c>
      <c r="GVI14" s="137" t="s">
        <v>5523</v>
      </c>
      <c r="GVJ14" s="137" t="s">
        <v>5524</v>
      </c>
      <c r="GVK14" s="137" t="s">
        <v>5525</v>
      </c>
      <c r="GVL14" s="137" t="s">
        <v>5526</v>
      </c>
      <c r="GVM14" s="137" t="s">
        <v>5527</v>
      </c>
      <c r="GVN14" s="137" t="s">
        <v>5528</v>
      </c>
      <c r="GVO14" s="137" t="s">
        <v>5529</v>
      </c>
      <c r="GVP14" s="137" t="s">
        <v>5530</v>
      </c>
      <c r="GVQ14" s="137" t="s">
        <v>5531</v>
      </c>
      <c r="GVR14" s="137" t="s">
        <v>5532</v>
      </c>
      <c r="GVS14" s="137" t="s">
        <v>5533</v>
      </c>
      <c r="GVT14" s="137" t="s">
        <v>5534</v>
      </c>
      <c r="GVU14" s="137" t="s">
        <v>5535</v>
      </c>
      <c r="GVV14" s="137" t="s">
        <v>5536</v>
      </c>
      <c r="GVW14" s="137" t="s">
        <v>5537</v>
      </c>
      <c r="GVX14" s="137" t="s">
        <v>5538</v>
      </c>
      <c r="GVY14" s="137" t="s">
        <v>5539</v>
      </c>
      <c r="GVZ14" s="137" t="s">
        <v>5540</v>
      </c>
      <c r="GWA14" s="137" t="s">
        <v>5541</v>
      </c>
      <c r="GWB14" s="137" t="s">
        <v>5542</v>
      </c>
      <c r="GWC14" s="137" t="s">
        <v>5543</v>
      </c>
      <c r="GWD14" s="137" t="s">
        <v>5544</v>
      </c>
      <c r="GWE14" s="137" t="s">
        <v>5545</v>
      </c>
      <c r="GWF14" s="137" t="s">
        <v>5546</v>
      </c>
      <c r="GWG14" s="137" t="s">
        <v>5547</v>
      </c>
      <c r="GWH14" s="137" t="s">
        <v>5548</v>
      </c>
      <c r="GWI14" s="137" t="s">
        <v>5549</v>
      </c>
      <c r="GWJ14" s="137" t="s">
        <v>5550</v>
      </c>
      <c r="GWK14" s="137" t="s">
        <v>5551</v>
      </c>
      <c r="GWL14" s="137" t="s">
        <v>5552</v>
      </c>
      <c r="GWM14" s="137" t="s">
        <v>5553</v>
      </c>
      <c r="GWN14" s="137" t="s">
        <v>5554</v>
      </c>
      <c r="GWO14" s="137" t="s">
        <v>5555</v>
      </c>
      <c r="GWP14" s="137" t="s">
        <v>5556</v>
      </c>
      <c r="GWQ14" s="137" t="s">
        <v>5557</v>
      </c>
      <c r="GWR14" s="137" t="s">
        <v>5558</v>
      </c>
      <c r="GWS14" s="137" t="s">
        <v>5559</v>
      </c>
      <c r="GWT14" s="137" t="s">
        <v>5560</v>
      </c>
      <c r="GWU14" s="137" t="s">
        <v>5561</v>
      </c>
      <c r="GWV14" s="137" t="s">
        <v>5562</v>
      </c>
      <c r="GWW14" s="137" t="s">
        <v>5563</v>
      </c>
      <c r="GWX14" s="137" t="s">
        <v>5564</v>
      </c>
      <c r="GWY14" s="137" t="s">
        <v>5565</v>
      </c>
      <c r="GWZ14" s="137" t="s">
        <v>5566</v>
      </c>
      <c r="GXA14" s="137" t="s">
        <v>5567</v>
      </c>
      <c r="GXB14" s="137" t="s">
        <v>5568</v>
      </c>
      <c r="GXC14" s="137" t="s">
        <v>5569</v>
      </c>
      <c r="GXD14" s="137" t="s">
        <v>5570</v>
      </c>
      <c r="GXE14" s="137" t="s">
        <v>5571</v>
      </c>
      <c r="GXF14" s="137" t="s">
        <v>5572</v>
      </c>
      <c r="GXG14" s="137" t="s">
        <v>5573</v>
      </c>
      <c r="GXH14" s="137" t="s">
        <v>5574</v>
      </c>
      <c r="GXI14" s="137" t="s">
        <v>5575</v>
      </c>
      <c r="GXJ14" s="137" t="s">
        <v>5576</v>
      </c>
      <c r="GXK14" s="137" t="s">
        <v>5577</v>
      </c>
      <c r="GXL14" s="137" t="s">
        <v>5578</v>
      </c>
      <c r="GXM14" s="137" t="s">
        <v>5579</v>
      </c>
      <c r="GXN14" s="137" t="s">
        <v>5580</v>
      </c>
      <c r="GXO14" s="137" t="s">
        <v>5581</v>
      </c>
      <c r="GXP14" s="137" t="s">
        <v>5582</v>
      </c>
      <c r="GXQ14" s="137" t="s">
        <v>5583</v>
      </c>
      <c r="GXR14" s="137" t="s">
        <v>5584</v>
      </c>
      <c r="GXS14" s="137" t="s">
        <v>5585</v>
      </c>
      <c r="GXT14" s="137" t="s">
        <v>5586</v>
      </c>
      <c r="GXU14" s="137" t="s">
        <v>5587</v>
      </c>
      <c r="GXV14" s="137" t="s">
        <v>5588</v>
      </c>
      <c r="GXW14" s="137" t="s">
        <v>5589</v>
      </c>
      <c r="GXX14" s="137" t="s">
        <v>5590</v>
      </c>
      <c r="GXY14" s="137" t="s">
        <v>5591</v>
      </c>
      <c r="GXZ14" s="137" t="s">
        <v>5592</v>
      </c>
      <c r="GYA14" s="137" t="s">
        <v>5593</v>
      </c>
      <c r="GYB14" s="137" t="s">
        <v>5594</v>
      </c>
      <c r="GYC14" s="137" t="s">
        <v>5595</v>
      </c>
      <c r="GYD14" s="137" t="s">
        <v>5596</v>
      </c>
      <c r="GYE14" s="137" t="s">
        <v>5597</v>
      </c>
      <c r="GYF14" s="137" t="s">
        <v>5598</v>
      </c>
      <c r="GYG14" s="137" t="s">
        <v>5599</v>
      </c>
      <c r="GYH14" s="137" t="s">
        <v>5600</v>
      </c>
      <c r="GYI14" s="137" t="s">
        <v>5601</v>
      </c>
      <c r="GYJ14" s="137" t="s">
        <v>5602</v>
      </c>
      <c r="GYK14" s="137" t="s">
        <v>5603</v>
      </c>
      <c r="GYL14" s="137" t="s">
        <v>5604</v>
      </c>
      <c r="GYM14" s="137" t="s">
        <v>5605</v>
      </c>
      <c r="GYN14" s="137" t="s">
        <v>5606</v>
      </c>
      <c r="GYO14" s="137" t="s">
        <v>5607</v>
      </c>
      <c r="GYP14" s="137" t="s">
        <v>5608</v>
      </c>
      <c r="GYQ14" s="137" t="s">
        <v>5609</v>
      </c>
      <c r="GYR14" s="137" t="s">
        <v>5610</v>
      </c>
      <c r="GYS14" s="137" t="s">
        <v>5611</v>
      </c>
      <c r="GYT14" s="137" t="s">
        <v>5612</v>
      </c>
      <c r="GYU14" s="137" t="s">
        <v>5613</v>
      </c>
      <c r="GYV14" s="137" t="s">
        <v>5614</v>
      </c>
      <c r="GYW14" s="137" t="s">
        <v>5615</v>
      </c>
      <c r="GYX14" s="137" t="s">
        <v>5616</v>
      </c>
      <c r="GYY14" s="137" t="s">
        <v>5617</v>
      </c>
      <c r="GYZ14" s="137" t="s">
        <v>5618</v>
      </c>
      <c r="GZA14" s="137" t="s">
        <v>5619</v>
      </c>
      <c r="GZB14" s="137" t="s">
        <v>5620</v>
      </c>
      <c r="GZC14" s="137" t="s">
        <v>5621</v>
      </c>
      <c r="GZD14" s="137" t="s">
        <v>5622</v>
      </c>
      <c r="GZE14" s="137" t="s">
        <v>5623</v>
      </c>
      <c r="GZF14" s="137" t="s">
        <v>5624</v>
      </c>
      <c r="GZG14" s="137" t="s">
        <v>5625</v>
      </c>
      <c r="GZH14" s="137" t="s">
        <v>5626</v>
      </c>
      <c r="GZI14" s="137" t="s">
        <v>5627</v>
      </c>
      <c r="GZJ14" s="137" t="s">
        <v>5628</v>
      </c>
      <c r="GZK14" s="137" t="s">
        <v>5629</v>
      </c>
      <c r="GZL14" s="137" t="s">
        <v>5630</v>
      </c>
      <c r="GZM14" s="137" t="s">
        <v>5631</v>
      </c>
      <c r="GZN14" s="137" t="s">
        <v>5632</v>
      </c>
      <c r="GZO14" s="137" t="s">
        <v>5633</v>
      </c>
      <c r="GZP14" s="137" t="s">
        <v>5634</v>
      </c>
      <c r="GZQ14" s="137" t="s">
        <v>5635</v>
      </c>
      <c r="GZR14" s="137" t="s">
        <v>5636</v>
      </c>
      <c r="GZS14" s="137" t="s">
        <v>5637</v>
      </c>
      <c r="GZT14" s="137" t="s">
        <v>5638</v>
      </c>
      <c r="GZU14" s="137" t="s">
        <v>5639</v>
      </c>
      <c r="GZV14" s="137" t="s">
        <v>5640</v>
      </c>
      <c r="GZW14" s="137" t="s">
        <v>5641</v>
      </c>
      <c r="GZX14" s="137" t="s">
        <v>5642</v>
      </c>
      <c r="GZY14" s="137" t="s">
        <v>5643</v>
      </c>
      <c r="GZZ14" s="137" t="s">
        <v>5644</v>
      </c>
      <c r="HAA14" s="137" t="s">
        <v>5645</v>
      </c>
      <c r="HAB14" s="137" t="s">
        <v>5646</v>
      </c>
      <c r="HAC14" s="137" t="s">
        <v>5647</v>
      </c>
      <c r="HAD14" s="137" t="s">
        <v>5648</v>
      </c>
      <c r="HAE14" s="137" t="s">
        <v>5649</v>
      </c>
      <c r="HAF14" s="137" t="s">
        <v>5650</v>
      </c>
      <c r="HAG14" s="137" t="s">
        <v>5651</v>
      </c>
      <c r="HAH14" s="137" t="s">
        <v>5652</v>
      </c>
      <c r="HAI14" s="137" t="s">
        <v>5653</v>
      </c>
      <c r="HAJ14" s="137" t="s">
        <v>5654</v>
      </c>
      <c r="HAK14" s="137" t="s">
        <v>5655</v>
      </c>
      <c r="HAL14" s="137" t="s">
        <v>5656</v>
      </c>
      <c r="HAM14" s="137" t="s">
        <v>5657</v>
      </c>
      <c r="HAN14" s="137" t="s">
        <v>5658</v>
      </c>
      <c r="HAO14" s="137" t="s">
        <v>5659</v>
      </c>
      <c r="HAP14" s="137" t="s">
        <v>5660</v>
      </c>
      <c r="HAQ14" s="137" t="s">
        <v>5661</v>
      </c>
      <c r="HAR14" s="137" t="s">
        <v>5662</v>
      </c>
      <c r="HAS14" s="137" t="s">
        <v>5663</v>
      </c>
      <c r="HAT14" s="137" t="s">
        <v>5664</v>
      </c>
      <c r="HAU14" s="137" t="s">
        <v>5665</v>
      </c>
      <c r="HAV14" s="137" t="s">
        <v>5666</v>
      </c>
      <c r="HAW14" s="137" t="s">
        <v>5667</v>
      </c>
      <c r="HAX14" s="137" t="s">
        <v>5668</v>
      </c>
      <c r="HAY14" s="137" t="s">
        <v>5669</v>
      </c>
      <c r="HAZ14" s="137" t="s">
        <v>5670</v>
      </c>
      <c r="HBA14" s="137" t="s">
        <v>5671</v>
      </c>
      <c r="HBB14" s="137" t="s">
        <v>5672</v>
      </c>
      <c r="HBC14" s="137" t="s">
        <v>5673</v>
      </c>
      <c r="HBD14" s="137" t="s">
        <v>5674</v>
      </c>
      <c r="HBE14" s="137" t="s">
        <v>5675</v>
      </c>
      <c r="HBF14" s="137" t="s">
        <v>5676</v>
      </c>
      <c r="HBG14" s="137" t="s">
        <v>5677</v>
      </c>
      <c r="HBH14" s="137" t="s">
        <v>5678</v>
      </c>
      <c r="HBI14" s="137" t="s">
        <v>5679</v>
      </c>
      <c r="HBJ14" s="137" t="s">
        <v>5680</v>
      </c>
      <c r="HBK14" s="137" t="s">
        <v>5681</v>
      </c>
      <c r="HBL14" s="137" t="s">
        <v>5682</v>
      </c>
      <c r="HBM14" s="137" t="s">
        <v>5683</v>
      </c>
      <c r="HBN14" s="137" t="s">
        <v>5684</v>
      </c>
      <c r="HBO14" s="137" t="s">
        <v>5685</v>
      </c>
      <c r="HBP14" s="137" t="s">
        <v>5686</v>
      </c>
      <c r="HBQ14" s="137" t="s">
        <v>5687</v>
      </c>
      <c r="HBR14" s="137" t="s">
        <v>5688</v>
      </c>
      <c r="HBS14" s="137" t="s">
        <v>5689</v>
      </c>
      <c r="HBT14" s="137" t="s">
        <v>5690</v>
      </c>
      <c r="HBU14" s="137" t="s">
        <v>5691</v>
      </c>
      <c r="HBV14" s="137" t="s">
        <v>5692</v>
      </c>
      <c r="HBW14" s="137" t="s">
        <v>5693</v>
      </c>
      <c r="HBX14" s="137" t="s">
        <v>5694</v>
      </c>
      <c r="HBY14" s="137" t="s">
        <v>5695</v>
      </c>
      <c r="HBZ14" s="137" t="s">
        <v>5696</v>
      </c>
      <c r="HCA14" s="137" t="s">
        <v>5697</v>
      </c>
      <c r="HCB14" s="137" t="s">
        <v>5698</v>
      </c>
      <c r="HCC14" s="137" t="s">
        <v>5699</v>
      </c>
      <c r="HCD14" s="137" t="s">
        <v>5700</v>
      </c>
      <c r="HCE14" s="137" t="s">
        <v>5701</v>
      </c>
      <c r="HCF14" s="137" t="s">
        <v>5702</v>
      </c>
      <c r="HCG14" s="137" t="s">
        <v>5703</v>
      </c>
      <c r="HCH14" s="137" t="s">
        <v>5704</v>
      </c>
      <c r="HCI14" s="137" t="s">
        <v>5705</v>
      </c>
      <c r="HCJ14" s="137" t="s">
        <v>5706</v>
      </c>
      <c r="HCK14" s="137" t="s">
        <v>5707</v>
      </c>
      <c r="HCL14" s="137" t="s">
        <v>5708</v>
      </c>
      <c r="HCM14" s="137" t="s">
        <v>5709</v>
      </c>
      <c r="HCN14" s="137" t="s">
        <v>5710</v>
      </c>
      <c r="HCO14" s="137" t="s">
        <v>5711</v>
      </c>
      <c r="HCP14" s="137" t="s">
        <v>5712</v>
      </c>
      <c r="HCQ14" s="137" t="s">
        <v>5713</v>
      </c>
      <c r="HCR14" s="137" t="s">
        <v>5714</v>
      </c>
      <c r="HCS14" s="137" t="s">
        <v>5715</v>
      </c>
      <c r="HCT14" s="137" t="s">
        <v>5716</v>
      </c>
      <c r="HCU14" s="137" t="s">
        <v>5717</v>
      </c>
      <c r="HCV14" s="137" t="s">
        <v>5718</v>
      </c>
      <c r="HCW14" s="137" t="s">
        <v>5719</v>
      </c>
      <c r="HCX14" s="137" t="s">
        <v>5720</v>
      </c>
      <c r="HCY14" s="137" t="s">
        <v>5721</v>
      </c>
      <c r="HCZ14" s="137" t="s">
        <v>5722</v>
      </c>
      <c r="HDA14" s="137" t="s">
        <v>5723</v>
      </c>
      <c r="HDB14" s="137" t="s">
        <v>5724</v>
      </c>
      <c r="HDC14" s="137" t="s">
        <v>5725</v>
      </c>
      <c r="HDD14" s="137" t="s">
        <v>5726</v>
      </c>
      <c r="HDE14" s="137" t="s">
        <v>5727</v>
      </c>
      <c r="HDF14" s="137" t="s">
        <v>5728</v>
      </c>
      <c r="HDG14" s="137" t="s">
        <v>5729</v>
      </c>
      <c r="HDH14" s="137" t="s">
        <v>5730</v>
      </c>
      <c r="HDI14" s="137" t="s">
        <v>5731</v>
      </c>
      <c r="HDJ14" s="137" t="s">
        <v>5732</v>
      </c>
      <c r="HDK14" s="137" t="s">
        <v>5733</v>
      </c>
      <c r="HDL14" s="137" t="s">
        <v>5734</v>
      </c>
      <c r="HDM14" s="137" t="s">
        <v>5735</v>
      </c>
      <c r="HDN14" s="137" t="s">
        <v>5736</v>
      </c>
      <c r="HDO14" s="137" t="s">
        <v>5737</v>
      </c>
      <c r="HDP14" s="137" t="s">
        <v>5738</v>
      </c>
      <c r="HDQ14" s="137" t="s">
        <v>5739</v>
      </c>
      <c r="HDR14" s="137" t="s">
        <v>5740</v>
      </c>
      <c r="HDS14" s="137" t="s">
        <v>5741</v>
      </c>
      <c r="HDT14" s="137" t="s">
        <v>5742</v>
      </c>
      <c r="HDU14" s="137" t="s">
        <v>5743</v>
      </c>
      <c r="HDV14" s="137" t="s">
        <v>5744</v>
      </c>
      <c r="HDW14" s="137" t="s">
        <v>5745</v>
      </c>
      <c r="HDX14" s="137" t="s">
        <v>5746</v>
      </c>
      <c r="HDY14" s="137" t="s">
        <v>5747</v>
      </c>
      <c r="HDZ14" s="137" t="s">
        <v>5748</v>
      </c>
      <c r="HEA14" s="137" t="s">
        <v>5749</v>
      </c>
      <c r="HEB14" s="137" t="s">
        <v>5750</v>
      </c>
      <c r="HEC14" s="137" t="s">
        <v>5751</v>
      </c>
      <c r="HED14" s="137" t="s">
        <v>5752</v>
      </c>
      <c r="HEE14" s="137" t="s">
        <v>5753</v>
      </c>
      <c r="HEF14" s="137" t="s">
        <v>5754</v>
      </c>
      <c r="HEG14" s="137" t="s">
        <v>5755</v>
      </c>
      <c r="HEH14" s="137" t="s">
        <v>5756</v>
      </c>
      <c r="HEI14" s="137" t="s">
        <v>5757</v>
      </c>
      <c r="HEJ14" s="137" t="s">
        <v>5758</v>
      </c>
      <c r="HEK14" s="137" t="s">
        <v>5759</v>
      </c>
      <c r="HEL14" s="137" t="s">
        <v>5760</v>
      </c>
      <c r="HEM14" s="137" t="s">
        <v>5761</v>
      </c>
      <c r="HEN14" s="137" t="s">
        <v>5762</v>
      </c>
      <c r="HEO14" s="137" t="s">
        <v>5763</v>
      </c>
      <c r="HEP14" s="137" t="s">
        <v>5764</v>
      </c>
      <c r="HEQ14" s="137" t="s">
        <v>5765</v>
      </c>
      <c r="HER14" s="137" t="s">
        <v>5766</v>
      </c>
      <c r="HES14" s="137" t="s">
        <v>5767</v>
      </c>
      <c r="HET14" s="137" t="s">
        <v>5768</v>
      </c>
      <c r="HEU14" s="137" t="s">
        <v>5769</v>
      </c>
      <c r="HEV14" s="137" t="s">
        <v>5770</v>
      </c>
      <c r="HEW14" s="137" t="s">
        <v>5771</v>
      </c>
      <c r="HEX14" s="137" t="s">
        <v>5772</v>
      </c>
      <c r="HEY14" s="137" t="s">
        <v>5773</v>
      </c>
      <c r="HEZ14" s="137" t="s">
        <v>5774</v>
      </c>
      <c r="HFA14" s="137" t="s">
        <v>5775</v>
      </c>
      <c r="HFB14" s="137" t="s">
        <v>5776</v>
      </c>
      <c r="HFC14" s="137" t="s">
        <v>5777</v>
      </c>
      <c r="HFD14" s="137" t="s">
        <v>5778</v>
      </c>
      <c r="HFE14" s="137" t="s">
        <v>5779</v>
      </c>
      <c r="HFF14" s="137" t="s">
        <v>5780</v>
      </c>
      <c r="HFG14" s="137" t="s">
        <v>5781</v>
      </c>
      <c r="HFH14" s="137" t="s">
        <v>5782</v>
      </c>
      <c r="HFI14" s="137" t="s">
        <v>5783</v>
      </c>
      <c r="HFJ14" s="137" t="s">
        <v>5784</v>
      </c>
      <c r="HFK14" s="137" t="s">
        <v>5785</v>
      </c>
      <c r="HFL14" s="137" t="s">
        <v>5786</v>
      </c>
      <c r="HFM14" s="137" t="s">
        <v>5787</v>
      </c>
      <c r="HFN14" s="137" t="s">
        <v>5788</v>
      </c>
      <c r="HFO14" s="137" t="s">
        <v>5789</v>
      </c>
      <c r="HFP14" s="137" t="s">
        <v>5790</v>
      </c>
      <c r="HFQ14" s="137" t="s">
        <v>5791</v>
      </c>
      <c r="HFR14" s="137" t="s">
        <v>5792</v>
      </c>
      <c r="HFS14" s="137" t="s">
        <v>5793</v>
      </c>
      <c r="HFT14" s="137" t="s">
        <v>5794</v>
      </c>
      <c r="HFU14" s="137" t="s">
        <v>5795</v>
      </c>
      <c r="HFV14" s="137" t="s">
        <v>5796</v>
      </c>
      <c r="HFW14" s="137" t="s">
        <v>5797</v>
      </c>
      <c r="HFX14" s="137" t="s">
        <v>5798</v>
      </c>
      <c r="HFY14" s="137" t="s">
        <v>5799</v>
      </c>
      <c r="HFZ14" s="137" t="s">
        <v>5800</v>
      </c>
      <c r="HGA14" s="137" t="s">
        <v>5801</v>
      </c>
      <c r="HGB14" s="137" t="s">
        <v>5802</v>
      </c>
      <c r="HGC14" s="137" t="s">
        <v>5803</v>
      </c>
      <c r="HGD14" s="137" t="s">
        <v>5804</v>
      </c>
      <c r="HGE14" s="137" t="s">
        <v>5805</v>
      </c>
      <c r="HGF14" s="137" t="s">
        <v>5806</v>
      </c>
      <c r="HGG14" s="137" t="s">
        <v>5807</v>
      </c>
      <c r="HGH14" s="137" t="s">
        <v>5808</v>
      </c>
      <c r="HGI14" s="137" t="s">
        <v>5809</v>
      </c>
      <c r="HGJ14" s="137" t="s">
        <v>5810</v>
      </c>
      <c r="HGK14" s="137" t="s">
        <v>5811</v>
      </c>
      <c r="HGL14" s="137" t="s">
        <v>5812</v>
      </c>
      <c r="HGM14" s="137" t="s">
        <v>5813</v>
      </c>
      <c r="HGN14" s="137" t="s">
        <v>5814</v>
      </c>
      <c r="HGO14" s="137" t="s">
        <v>5815</v>
      </c>
      <c r="HGP14" s="137" t="s">
        <v>5816</v>
      </c>
      <c r="HGQ14" s="137" t="s">
        <v>5817</v>
      </c>
      <c r="HGR14" s="137" t="s">
        <v>5818</v>
      </c>
      <c r="HGS14" s="137" t="s">
        <v>5819</v>
      </c>
      <c r="HGT14" s="137" t="s">
        <v>5820</v>
      </c>
      <c r="HGU14" s="137" t="s">
        <v>5821</v>
      </c>
      <c r="HGV14" s="137" t="s">
        <v>5822</v>
      </c>
      <c r="HGW14" s="137" t="s">
        <v>5823</v>
      </c>
      <c r="HGX14" s="137" t="s">
        <v>5824</v>
      </c>
      <c r="HGY14" s="137" t="s">
        <v>5825</v>
      </c>
      <c r="HGZ14" s="137" t="s">
        <v>5826</v>
      </c>
      <c r="HHA14" s="137" t="s">
        <v>5827</v>
      </c>
      <c r="HHB14" s="137" t="s">
        <v>5828</v>
      </c>
      <c r="HHC14" s="137" t="s">
        <v>5829</v>
      </c>
      <c r="HHD14" s="137" t="s">
        <v>5830</v>
      </c>
      <c r="HHE14" s="137" t="s">
        <v>5831</v>
      </c>
      <c r="HHF14" s="137" t="s">
        <v>5832</v>
      </c>
      <c r="HHG14" s="137" t="s">
        <v>5833</v>
      </c>
      <c r="HHH14" s="137" t="s">
        <v>5834</v>
      </c>
      <c r="HHI14" s="137" t="s">
        <v>5835</v>
      </c>
      <c r="HHJ14" s="137" t="s">
        <v>5836</v>
      </c>
      <c r="HHK14" s="137" t="s">
        <v>5837</v>
      </c>
      <c r="HHL14" s="137" t="s">
        <v>5838</v>
      </c>
      <c r="HHM14" s="137" t="s">
        <v>5839</v>
      </c>
      <c r="HHN14" s="137" t="s">
        <v>5840</v>
      </c>
      <c r="HHO14" s="137" t="s">
        <v>5841</v>
      </c>
      <c r="HHP14" s="137" t="s">
        <v>5842</v>
      </c>
      <c r="HHQ14" s="137" t="s">
        <v>5843</v>
      </c>
      <c r="HHR14" s="137" t="s">
        <v>5844</v>
      </c>
      <c r="HHS14" s="137" t="s">
        <v>5845</v>
      </c>
      <c r="HHT14" s="137" t="s">
        <v>5846</v>
      </c>
      <c r="HHU14" s="137" t="s">
        <v>5847</v>
      </c>
      <c r="HHV14" s="137" t="s">
        <v>5848</v>
      </c>
      <c r="HHW14" s="137" t="s">
        <v>5849</v>
      </c>
      <c r="HHX14" s="137" t="s">
        <v>5850</v>
      </c>
      <c r="HHY14" s="137" t="s">
        <v>5851</v>
      </c>
      <c r="HHZ14" s="137" t="s">
        <v>5852</v>
      </c>
      <c r="HIA14" s="137" t="s">
        <v>5853</v>
      </c>
      <c r="HIB14" s="137" t="s">
        <v>5854</v>
      </c>
      <c r="HIC14" s="137" t="s">
        <v>5855</v>
      </c>
      <c r="HID14" s="137" t="s">
        <v>5856</v>
      </c>
      <c r="HIE14" s="137" t="s">
        <v>5857</v>
      </c>
      <c r="HIF14" s="137" t="s">
        <v>5858</v>
      </c>
      <c r="HIG14" s="137" t="s">
        <v>5859</v>
      </c>
      <c r="HIH14" s="137" t="s">
        <v>5860</v>
      </c>
      <c r="HII14" s="137" t="s">
        <v>5861</v>
      </c>
      <c r="HIJ14" s="137" t="s">
        <v>5862</v>
      </c>
      <c r="HIK14" s="137" t="s">
        <v>5863</v>
      </c>
      <c r="HIL14" s="137" t="s">
        <v>5864</v>
      </c>
      <c r="HIM14" s="137" t="s">
        <v>5865</v>
      </c>
      <c r="HIN14" s="137" t="s">
        <v>5866</v>
      </c>
      <c r="HIO14" s="137" t="s">
        <v>5867</v>
      </c>
      <c r="HIP14" s="137" t="s">
        <v>5868</v>
      </c>
      <c r="HIQ14" s="137" t="s">
        <v>5869</v>
      </c>
      <c r="HIR14" s="137" t="s">
        <v>5870</v>
      </c>
      <c r="HIS14" s="137" t="s">
        <v>5871</v>
      </c>
      <c r="HIT14" s="137" t="s">
        <v>5872</v>
      </c>
      <c r="HIU14" s="137" t="s">
        <v>5873</v>
      </c>
      <c r="HIV14" s="137" t="s">
        <v>5874</v>
      </c>
      <c r="HIW14" s="137" t="s">
        <v>5875</v>
      </c>
      <c r="HIX14" s="137" t="s">
        <v>5876</v>
      </c>
      <c r="HIY14" s="137" t="s">
        <v>5877</v>
      </c>
      <c r="HIZ14" s="137" t="s">
        <v>5878</v>
      </c>
      <c r="HJA14" s="137" t="s">
        <v>5879</v>
      </c>
      <c r="HJB14" s="137" t="s">
        <v>5880</v>
      </c>
      <c r="HJC14" s="137" t="s">
        <v>5881</v>
      </c>
      <c r="HJD14" s="137" t="s">
        <v>5882</v>
      </c>
      <c r="HJE14" s="137" t="s">
        <v>5883</v>
      </c>
      <c r="HJF14" s="137" t="s">
        <v>5884</v>
      </c>
      <c r="HJG14" s="137" t="s">
        <v>5885</v>
      </c>
      <c r="HJH14" s="137" t="s">
        <v>5886</v>
      </c>
      <c r="HJI14" s="137" t="s">
        <v>5887</v>
      </c>
      <c r="HJJ14" s="137" t="s">
        <v>5888</v>
      </c>
      <c r="HJK14" s="137" t="s">
        <v>5889</v>
      </c>
      <c r="HJL14" s="137" t="s">
        <v>5890</v>
      </c>
      <c r="HJM14" s="137" t="s">
        <v>5891</v>
      </c>
      <c r="HJN14" s="137" t="s">
        <v>5892</v>
      </c>
      <c r="HJO14" s="137" t="s">
        <v>5893</v>
      </c>
      <c r="HJP14" s="137" t="s">
        <v>5894</v>
      </c>
      <c r="HJQ14" s="137" t="s">
        <v>5895</v>
      </c>
      <c r="HJR14" s="137" t="s">
        <v>5896</v>
      </c>
      <c r="HJS14" s="137" t="s">
        <v>5897</v>
      </c>
      <c r="HJT14" s="137" t="s">
        <v>5898</v>
      </c>
      <c r="HJU14" s="137" t="s">
        <v>5899</v>
      </c>
      <c r="HJV14" s="137" t="s">
        <v>5900</v>
      </c>
      <c r="HJW14" s="137" t="s">
        <v>5901</v>
      </c>
      <c r="HJX14" s="137" t="s">
        <v>5902</v>
      </c>
      <c r="HJY14" s="137" t="s">
        <v>5903</v>
      </c>
      <c r="HJZ14" s="137" t="s">
        <v>5904</v>
      </c>
      <c r="HKA14" s="137" t="s">
        <v>5905</v>
      </c>
      <c r="HKB14" s="137" t="s">
        <v>5906</v>
      </c>
      <c r="HKC14" s="137" t="s">
        <v>5907</v>
      </c>
      <c r="HKD14" s="137" t="s">
        <v>5908</v>
      </c>
      <c r="HKE14" s="137" t="s">
        <v>5909</v>
      </c>
      <c r="HKF14" s="137" t="s">
        <v>5910</v>
      </c>
      <c r="HKG14" s="137" t="s">
        <v>5911</v>
      </c>
      <c r="HKH14" s="137" t="s">
        <v>5912</v>
      </c>
      <c r="HKI14" s="137" t="s">
        <v>5913</v>
      </c>
      <c r="HKJ14" s="137" t="s">
        <v>5914</v>
      </c>
      <c r="HKK14" s="137" t="s">
        <v>5915</v>
      </c>
      <c r="HKL14" s="137" t="s">
        <v>5916</v>
      </c>
      <c r="HKM14" s="137" t="s">
        <v>5917</v>
      </c>
      <c r="HKN14" s="137" t="s">
        <v>5918</v>
      </c>
      <c r="HKO14" s="137" t="s">
        <v>5919</v>
      </c>
      <c r="HKP14" s="137" t="s">
        <v>5920</v>
      </c>
      <c r="HKQ14" s="137" t="s">
        <v>5921</v>
      </c>
      <c r="HKR14" s="137" t="s">
        <v>5922</v>
      </c>
      <c r="HKS14" s="137" t="s">
        <v>5923</v>
      </c>
      <c r="HKT14" s="137" t="s">
        <v>5924</v>
      </c>
      <c r="HKU14" s="137" t="s">
        <v>5925</v>
      </c>
      <c r="HKV14" s="137" t="s">
        <v>5926</v>
      </c>
      <c r="HKW14" s="137" t="s">
        <v>5927</v>
      </c>
      <c r="HKX14" s="137" t="s">
        <v>5928</v>
      </c>
      <c r="HKY14" s="137" t="s">
        <v>5929</v>
      </c>
      <c r="HKZ14" s="137" t="s">
        <v>5930</v>
      </c>
      <c r="HLA14" s="137" t="s">
        <v>5931</v>
      </c>
      <c r="HLB14" s="137" t="s">
        <v>5932</v>
      </c>
      <c r="HLC14" s="137" t="s">
        <v>5933</v>
      </c>
      <c r="HLD14" s="137" t="s">
        <v>5934</v>
      </c>
      <c r="HLE14" s="137" t="s">
        <v>5935</v>
      </c>
      <c r="HLF14" s="137" t="s">
        <v>5936</v>
      </c>
      <c r="HLG14" s="137" t="s">
        <v>5937</v>
      </c>
      <c r="HLH14" s="137" t="s">
        <v>5938</v>
      </c>
      <c r="HLI14" s="137" t="s">
        <v>5939</v>
      </c>
      <c r="HLJ14" s="137" t="s">
        <v>5940</v>
      </c>
      <c r="HLK14" s="137" t="s">
        <v>5941</v>
      </c>
      <c r="HLL14" s="137" t="s">
        <v>5942</v>
      </c>
      <c r="HLM14" s="137" t="s">
        <v>5943</v>
      </c>
      <c r="HLN14" s="137" t="s">
        <v>5944</v>
      </c>
      <c r="HLO14" s="137" t="s">
        <v>5945</v>
      </c>
      <c r="HLP14" s="137" t="s">
        <v>5946</v>
      </c>
      <c r="HLQ14" s="137" t="s">
        <v>5947</v>
      </c>
      <c r="HLR14" s="137" t="s">
        <v>5948</v>
      </c>
      <c r="HLS14" s="137" t="s">
        <v>5949</v>
      </c>
      <c r="HLT14" s="137" t="s">
        <v>5950</v>
      </c>
      <c r="HLU14" s="137" t="s">
        <v>5951</v>
      </c>
      <c r="HLV14" s="137" t="s">
        <v>5952</v>
      </c>
      <c r="HLW14" s="137" t="s">
        <v>5953</v>
      </c>
      <c r="HLX14" s="137" t="s">
        <v>5954</v>
      </c>
      <c r="HLY14" s="137" t="s">
        <v>5955</v>
      </c>
      <c r="HLZ14" s="137" t="s">
        <v>5956</v>
      </c>
      <c r="HMA14" s="137" t="s">
        <v>5957</v>
      </c>
      <c r="HMB14" s="137" t="s">
        <v>5958</v>
      </c>
      <c r="HMC14" s="137" t="s">
        <v>5959</v>
      </c>
      <c r="HMD14" s="137" t="s">
        <v>5960</v>
      </c>
      <c r="HME14" s="137" t="s">
        <v>5961</v>
      </c>
      <c r="HMF14" s="137" t="s">
        <v>5962</v>
      </c>
      <c r="HMG14" s="137" t="s">
        <v>5963</v>
      </c>
      <c r="HMH14" s="137" t="s">
        <v>5964</v>
      </c>
      <c r="HMI14" s="137" t="s">
        <v>5965</v>
      </c>
      <c r="HMJ14" s="137" t="s">
        <v>5966</v>
      </c>
      <c r="HMK14" s="137" t="s">
        <v>5967</v>
      </c>
      <c r="HML14" s="137" t="s">
        <v>5968</v>
      </c>
      <c r="HMM14" s="137" t="s">
        <v>5969</v>
      </c>
      <c r="HMN14" s="137" t="s">
        <v>5970</v>
      </c>
      <c r="HMO14" s="137" t="s">
        <v>5971</v>
      </c>
      <c r="HMP14" s="137" t="s">
        <v>5972</v>
      </c>
      <c r="HMQ14" s="137" t="s">
        <v>5973</v>
      </c>
      <c r="HMR14" s="137" t="s">
        <v>5974</v>
      </c>
      <c r="HMS14" s="137" t="s">
        <v>5975</v>
      </c>
      <c r="HMT14" s="137" t="s">
        <v>5976</v>
      </c>
      <c r="HMU14" s="137" t="s">
        <v>5977</v>
      </c>
      <c r="HMV14" s="137" t="s">
        <v>5978</v>
      </c>
      <c r="HMW14" s="137" t="s">
        <v>5979</v>
      </c>
      <c r="HMX14" s="137" t="s">
        <v>5980</v>
      </c>
      <c r="HMY14" s="137" t="s">
        <v>5981</v>
      </c>
      <c r="HMZ14" s="137" t="s">
        <v>5982</v>
      </c>
      <c r="HNA14" s="137" t="s">
        <v>5983</v>
      </c>
      <c r="HNB14" s="137" t="s">
        <v>5984</v>
      </c>
      <c r="HNC14" s="137" t="s">
        <v>5985</v>
      </c>
      <c r="HND14" s="137" t="s">
        <v>5986</v>
      </c>
      <c r="HNE14" s="137" t="s">
        <v>5987</v>
      </c>
      <c r="HNF14" s="137" t="s">
        <v>5988</v>
      </c>
      <c r="HNG14" s="137" t="s">
        <v>5989</v>
      </c>
      <c r="HNH14" s="137" t="s">
        <v>5990</v>
      </c>
      <c r="HNI14" s="137" t="s">
        <v>5991</v>
      </c>
      <c r="HNJ14" s="137" t="s">
        <v>5992</v>
      </c>
      <c r="HNK14" s="137" t="s">
        <v>5993</v>
      </c>
      <c r="HNL14" s="137" t="s">
        <v>5994</v>
      </c>
      <c r="HNM14" s="137" t="s">
        <v>5995</v>
      </c>
      <c r="HNN14" s="137" t="s">
        <v>5996</v>
      </c>
      <c r="HNO14" s="137" t="s">
        <v>5997</v>
      </c>
      <c r="HNP14" s="137" t="s">
        <v>5998</v>
      </c>
      <c r="HNQ14" s="137" t="s">
        <v>5999</v>
      </c>
      <c r="HNR14" s="137" t="s">
        <v>6000</v>
      </c>
      <c r="HNS14" s="137" t="s">
        <v>6001</v>
      </c>
      <c r="HNT14" s="137" t="s">
        <v>6002</v>
      </c>
      <c r="HNU14" s="137" t="s">
        <v>6003</v>
      </c>
      <c r="HNV14" s="137" t="s">
        <v>6004</v>
      </c>
      <c r="HNW14" s="137" t="s">
        <v>6005</v>
      </c>
      <c r="HNX14" s="137" t="s">
        <v>6006</v>
      </c>
      <c r="HNY14" s="137" t="s">
        <v>6007</v>
      </c>
      <c r="HNZ14" s="137" t="s">
        <v>6008</v>
      </c>
      <c r="HOA14" s="137" t="s">
        <v>6009</v>
      </c>
      <c r="HOB14" s="137" t="s">
        <v>6010</v>
      </c>
      <c r="HOC14" s="137" t="s">
        <v>6011</v>
      </c>
      <c r="HOD14" s="137" t="s">
        <v>6012</v>
      </c>
      <c r="HOE14" s="137" t="s">
        <v>6013</v>
      </c>
      <c r="HOF14" s="137" t="s">
        <v>6014</v>
      </c>
      <c r="HOG14" s="137" t="s">
        <v>6015</v>
      </c>
      <c r="HOH14" s="137" t="s">
        <v>6016</v>
      </c>
      <c r="HOI14" s="137" t="s">
        <v>6017</v>
      </c>
      <c r="HOJ14" s="137" t="s">
        <v>6018</v>
      </c>
      <c r="HOK14" s="137" t="s">
        <v>6019</v>
      </c>
      <c r="HOL14" s="137" t="s">
        <v>6020</v>
      </c>
      <c r="HOM14" s="137" t="s">
        <v>6021</v>
      </c>
      <c r="HON14" s="137" t="s">
        <v>6022</v>
      </c>
      <c r="HOO14" s="137" t="s">
        <v>6023</v>
      </c>
      <c r="HOP14" s="137" t="s">
        <v>6024</v>
      </c>
      <c r="HOQ14" s="137" t="s">
        <v>6025</v>
      </c>
      <c r="HOR14" s="137" t="s">
        <v>6026</v>
      </c>
      <c r="HOS14" s="137" t="s">
        <v>6027</v>
      </c>
      <c r="HOT14" s="137" t="s">
        <v>6028</v>
      </c>
      <c r="HOU14" s="137" t="s">
        <v>6029</v>
      </c>
      <c r="HOV14" s="137" t="s">
        <v>6030</v>
      </c>
      <c r="HOW14" s="137" t="s">
        <v>6031</v>
      </c>
      <c r="HOX14" s="137" t="s">
        <v>6032</v>
      </c>
      <c r="HOY14" s="137" t="s">
        <v>6033</v>
      </c>
      <c r="HOZ14" s="137" t="s">
        <v>6034</v>
      </c>
      <c r="HPA14" s="137" t="s">
        <v>6035</v>
      </c>
      <c r="HPB14" s="137" t="s">
        <v>6036</v>
      </c>
      <c r="HPC14" s="137" t="s">
        <v>6037</v>
      </c>
      <c r="HPD14" s="137" t="s">
        <v>6038</v>
      </c>
      <c r="HPE14" s="137" t="s">
        <v>6039</v>
      </c>
      <c r="HPF14" s="137" t="s">
        <v>6040</v>
      </c>
      <c r="HPG14" s="137" t="s">
        <v>6041</v>
      </c>
      <c r="HPH14" s="137" t="s">
        <v>6042</v>
      </c>
      <c r="HPI14" s="137" t="s">
        <v>6043</v>
      </c>
      <c r="HPJ14" s="137" t="s">
        <v>6044</v>
      </c>
      <c r="HPK14" s="137" t="s">
        <v>6045</v>
      </c>
      <c r="HPL14" s="137" t="s">
        <v>6046</v>
      </c>
      <c r="HPM14" s="137" t="s">
        <v>6047</v>
      </c>
      <c r="HPN14" s="137" t="s">
        <v>6048</v>
      </c>
      <c r="HPO14" s="137" t="s">
        <v>6049</v>
      </c>
      <c r="HPP14" s="137" t="s">
        <v>6050</v>
      </c>
      <c r="HPQ14" s="137" t="s">
        <v>6051</v>
      </c>
      <c r="HPR14" s="137" t="s">
        <v>6052</v>
      </c>
      <c r="HPS14" s="137" t="s">
        <v>6053</v>
      </c>
      <c r="HPT14" s="137" t="s">
        <v>6054</v>
      </c>
      <c r="HPU14" s="137" t="s">
        <v>6055</v>
      </c>
      <c r="HPV14" s="137" t="s">
        <v>6056</v>
      </c>
      <c r="HPW14" s="137" t="s">
        <v>6057</v>
      </c>
      <c r="HPX14" s="137" t="s">
        <v>6058</v>
      </c>
      <c r="HPY14" s="137" t="s">
        <v>6059</v>
      </c>
      <c r="HPZ14" s="137" t="s">
        <v>6060</v>
      </c>
      <c r="HQA14" s="137" t="s">
        <v>6061</v>
      </c>
      <c r="HQB14" s="137" t="s">
        <v>6062</v>
      </c>
      <c r="HQC14" s="137" t="s">
        <v>6063</v>
      </c>
      <c r="HQD14" s="137" t="s">
        <v>6064</v>
      </c>
      <c r="HQE14" s="137" t="s">
        <v>6065</v>
      </c>
      <c r="HQF14" s="137" t="s">
        <v>6066</v>
      </c>
      <c r="HQG14" s="137" t="s">
        <v>6067</v>
      </c>
      <c r="HQH14" s="137" t="s">
        <v>6068</v>
      </c>
      <c r="HQI14" s="137" t="s">
        <v>6069</v>
      </c>
      <c r="HQJ14" s="137" t="s">
        <v>6070</v>
      </c>
      <c r="HQK14" s="137" t="s">
        <v>6071</v>
      </c>
      <c r="HQL14" s="137" t="s">
        <v>6072</v>
      </c>
      <c r="HQM14" s="137" t="s">
        <v>6073</v>
      </c>
      <c r="HQN14" s="137" t="s">
        <v>6074</v>
      </c>
      <c r="HQO14" s="137" t="s">
        <v>6075</v>
      </c>
      <c r="HQP14" s="137" t="s">
        <v>6076</v>
      </c>
      <c r="HQQ14" s="137" t="s">
        <v>6077</v>
      </c>
      <c r="HQR14" s="137" t="s">
        <v>6078</v>
      </c>
      <c r="HQS14" s="137" t="s">
        <v>6079</v>
      </c>
      <c r="HQT14" s="137" t="s">
        <v>6080</v>
      </c>
      <c r="HQU14" s="137" t="s">
        <v>6081</v>
      </c>
      <c r="HQV14" s="137" t="s">
        <v>6082</v>
      </c>
      <c r="HQW14" s="137" t="s">
        <v>6083</v>
      </c>
      <c r="HQX14" s="137" t="s">
        <v>6084</v>
      </c>
      <c r="HQY14" s="137" t="s">
        <v>6085</v>
      </c>
      <c r="HQZ14" s="137" t="s">
        <v>6086</v>
      </c>
      <c r="HRA14" s="137" t="s">
        <v>6087</v>
      </c>
      <c r="HRB14" s="137" t="s">
        <v>6088</v>
      </c>
      <c r="HRC14" s="137" t="s">
        <v>6089</v>
      </c>
      <c r="HRD14" s="137" t="s">
        <v>6090</v>
      </c>
      <c r="HRE14" s="137" t="s">
        <v>6091</v>
      </c>
      <c r="HRF14" s="137" t="s">
        <v>6092</v>
      </c>
      <c r="HRG14" s="137" t="s">
        <v>6093</v>
      </c>
      <c r="HRH14" s="137" t="s">
        <v>6094</v>
      </c>
      <c r="HRI14" s="137" t="s">
        <v>6095</v>
      </c>
      <c r="HRJ14" s="137" t="s">
        <v>6096</v>
      </c>
      <c r="HRK14" s="137" t="s">
        <v>6097</v>
      </c>
      <c r="HRL14" s="137" t="s">
        <v>6098</v>
      </c>
      <c r="HRM14" s="137" t="s">
        <v>6099</v>
      </c>
      <c r="HRN14" s="137" t="s">
        <v>6100</v>
      </c>
      <c r="HRO14" s="137" t="s">
        <v>6101</v>
      </c>
      <c r="HRP14" s="137" t="s">
        <v>6102</v>
      </c>
      <c r="HRQ14" s="137" t="s">
        <v>6103</v>
      </c>
      <c r="HRR14" s="137" t="s">
        <v>6104</v>
      </c>
      <c r="HRS14" s="137" t="s">
        <v>6105</v>
      </c>
      <c r="HRT14" s="137" t="s">
        <v>6106</v>
      </c>
      <c r="HRU14" s="137" t="s">
        <v>6107</v>
      </c>
      <c r="HRV14" s="137" t="s">
        <v>6108</v>
      </c>
      <c r="HRW14" s="137" t="s">
        <v>6109</v>
      </c>
      <c r="HRX14" s="137" t="s">
        <v>6110</v>
      </c>
      <c r="HRY14" s="137" t="s">
        <v>6111</v>
      </c>
      <c r="HRZ14" s="137" t="s">
        <v>6112</v>
      </c>
      <c r="HSA14" s="137" t="s">
        <v>6113</v>
      </c>
      <c r="HSB14" s="137" t="s">
        <v>6114</v>
      </c>
      <c r="HSC14" s="137" t="s">
        <v>6115</v>
      </c>
      <c r="HSD14" s="137" t="s">
        <v>6116</v>
      </c>
      <c r="HSE14" s="137" t="s">
        <v>6117</v>
      </c>
      <c r="HSF14" s="137" t="s">
        <v>6118</v>
      </c>
      <c r="HSG14" s="137" t="s">
        <v>6119</v>
      </c>
      <c r="HSH14" s="137" t="s">
        <v>6120</v>
      </c>
      <c r="HSI14" s="137" t="s">
        <v>6121</v>
      </c>
      <c r="HSJ14" s="137" t="s">
        <v>6122</v>
      </c>
      <c r="HSK14" s="137" t="s">
        <v>6123</v>
      </c>
      <c r="HSL14" s="137" t="s">
        <v>6124</v>
      </c>
      <c r="HSM14" s="137" t="s">
        <v>6125</v>
      </c>
      <c r="HSN14" s="137" t="s">
        <v>6126</v>
      </c>
      <c r="HSO14" s="137" t="s">
        <v>6127</v>
      </c>
      <c r="HSP14" s="137" t="s">
        <v>6128</v>
      </c>
      <c r="HSQ14" s="137" t="s">
        <v>6129</v>
      </c>
      <c r="HSR14" s="137" t="s">
        <v>6130</v>
      </c>
      <c r="HSS14" s="137" t="s">
        <v>6131</v>
      </c>
      <c r="HST14" s="137" t="s">
        <v>6132</v>
      </c>
      <c r="HSU14" s="137" t="s">
        <v>6133</v>
      </c>
      <c r="HSV14" s="137" t="s">
        <v>6134</v>
      </c>
      <c r="HSW14" s="137" t="s">
        <v>6135</v>
      </c>
      <c r="HSX14" s="137" t="s">
        <v>6136</v>
      </c>
      <c r="HSY14" s="137" t="s">
        <v>6137</v>
      </c>
      <c r="HSZ14" s="137" t="s">
        <v>6138</v>
      </c>
      <c r="HTA14" s="137" t="s">
        <v>6139</v>
      </c>
      <c r="HTB14" s="137" t="s">
        <v>6140</v>
      </c>
      <c r="HTC14" s="137" t="s">
        <v>6141</v>
      </c>
      <c r="HTD14" s="137" t="s">
        <v>6142</v>
      </c>
      <c r="HTE14" s="137" t="s">
        <v>6143</v>
      </c>
      <c r="HTF14" s="137" t="s">
        <v>6144</v>
      </c>
      <c r="HTG14" s="137" t="s">
        <v>6145</v>
      </c>
      <c r="HTH14" s="137" t="s">
        <v>6146</v>
      </c>
      <c r="HTI14" s="137" t="s">
        <v>6147</v>
      </c>
      <c r="HTJ14" s="137" t="s">
        <v>6148</v>
      </c>
      <c r="HTK14" s="137" t="s">
        <v>6149</v>
      </c>
      <c r="HTL14" s="137" t="s">
        <v>6150</v>
      </c>
      <c r="HTM14" s="137" t="s">
        <v>6151</v>
      </c>
      <c r="HTN14" s="137" t="s">
        <v>6152</v>
      </c>
      <c r="HTO14" s="137" t="s">
        <v>6153</v>
      </c>
      <c r="HTP14" s="137" t="s">
        <v>6154</v>
      </c>
      <c r="HTQ14" s="137" t="s">
        <v>6155</v>
      </c>
      <c r="HTR14" s="137" t="s">
        <v>6156</v>
      </c>
      <c r="HTS14" s="137" t="s">
        <v>6157</v>
      </c>
      <c r="HTT14" s="137" t="s">
        <v>6158</v>
      </c>
      <c r="HTU14" s="137" t="s">
        <v>6159</v>
      </c>
      <c r="HTV14" s="137" t="s">
        <v>6160</v>
      </c>
      <c r="HTW14" s="137" t="s">
        <v>6161</v>
      </c>
      <c r="HTX14" s="137" t="s">
        <v>6162</v>
      </c>
      <c r="HTY14" s="137" t="s">
        <v>6163</v>
      </c>
      <c r="HTZ14" s="137" t="s">
        <v>6164</v>
      </c>
      <c r="HUA14" s="137" t="s">
        <v>6165</v>
      </c>
      <c r="HUB14" s="137" t="s">
        <v>6166</v>
      </c>
      <c r="HUC14" s="137" t="s">
        <v>6167</v>
      </c>
      <c r="HUD14" s="137" t="s">
        <v>6168</v>
      </c>
      <c r="HUE14" s="137" t="s">
        <v>6169</v>
      </c>
      <c r="HUF14" s="137" t="s">
        <v>6170</v>
      </c>
      <c r="HUG14" s="137" t="s">
        <v>6171</v>
      </c>
      <c r="HUH14" s="137" t="s">
        <v>6172</v>
      </c>
      <c r="HUI14" s="137" t="s">
        <v>6173</v>
      </c>
      <c r="HUJ14" s="137" t="s">
        <v>6174</v>
      </c>
      <c r="HUK14" s="137" t="s">
        <v>6175</v>
      </c>
      <c r="HUL14" s="137" t="s">
        <v>6176</v>
      </c>
      <c r="HUM14" s="137" t="s">
        <v>6177</v>
      </c>
      <c r="HUN14" s="137" t="s">
        <v>6178</v>
      </c>
      <c r="HUO14" s="137" t="s">
        <v>6179</v>
      </c>
      <c r="HUP14" s="137" t="s">
        <v>6180</v>
      </c>
      <c r="HUQ14" s="137" t="s">
        <v>6181</v>
      </c>
      <c r="HUR14" s="137" t="s">
        <v>6182</v>
      </c>
      <c r="HUS14" s="137" t="s">
        <v>6183</v>
      </c>
      <c r="HUT14" s="137" t="s">
        <v>6184</v>
      </c>
      <c r="HUU14" s="137" t="s">
        <v>6185</v>
      </c>
      <c r="HUV14" s="137" t="s">
        <v>6186</v>
      </c>
      <c r="HUW14" s="137" t="s">
        <v>6187</v>
      </c>
      <c r="HUX14" s="137" t="s">
        <v>6188</v>
      </c>
      <c r="HUY14" s="137" t="s">
        <v>6189</v>
      </c>
      <c r="HUZ14" s="137" t="s">
        <v>6190</v>
      </c>
      <c r="HVA14" s="137" t="s">
        <v>6191</v>
      </c>
      <c r="HVB14" s="137" t="s">
        <v>6192</v>
      </c>
      <c r="HVC14" s="137" t="s">
        <v>6193</v>
      </c>
      <c r="HVD14" s="137" t="s">
        <v>6194</v>
      </c>
      <c r="HVE14" s="137" t="s">
        <v>6195</v>
      </c>
      <c r="HVF14" s="137" t="s">
        <v>6196</v>
      </c>
      <c r="HVG14" s="137" t="s">
        <v>6197</v>
      </c>
      <c r="HVH14" s="137" t="s">
        <v>6198</v>
      </c>
      <c r="HVI14" s="137" t="s">
        <v>6199</v>
      </c>
      <c r="HVJ14" s="137" t="s">
        <v>6200</v>
      </c>
      <c r="HVK14" s="137" t="s">
        <v>6201</v>
      </c>
      <c r="HVL14" s="137" t="s">
        <v>6202</v>
      </c>
      <c r="HVM14" s="137" t="s">
        <v>6203</v>
      </c>
      <c r="HVN14" s="137" t="s">
        <v>6204</v>
      </c>
      <c r="HVO14" s="137" t="s">
        <v>6205</v>
      </c>
      <c r="HVP14" s="137" t="s">
        <v>6206</v>
      </c>
      <c r="HVQ14" s="137" t="s">
        <v>6207</v>
      </c>
      <c r="HVR14" s="137" t="s">
        <v>6208</v>
      </c>
      <c r="HVS14" s="137" t="s">
        <v>6209</v>
      </c>
      <c r="HVT14" s="137" t="s">
        <v>6210</v>
      </c>
      <c r="HVU14" s="137" t="s">
        <v>6211</v>
      </c>
      <c r="HVV14" s="137" t="s">
        <v>6212</v>
      </c>
      <c r="HVW14" s="137" t="s">
        <v>6213</v>
      </c>
      <c r="HVX14" s="137" t="s">
        <v>6214</v>
      </c>
      <c r="HVY14" s="137" t="s">
        <v>6215</v>
      </c>
      <c r="HVZ14" s="137" t="s">
        <v>6216</v>
      </c>
      <c r="HWA14" s="137" t="s">
        <v>6217</v>
      </c>
      <c r="HWB14" s="137" t="s">
        <v>6218</v>
      </c>
      <c r="HWC14" s="137" t="s">
        <v>6219</v>
      </c>
      <c r="HWD14" s="137" t="s">
        <v>6220</v>
      </c>
      <c r="HWE14" s="137" t="s">
        <v>6221</v>
      </c>
      <c r="HWF14" s="137" t="s">
        <v>6222</v>
      </c>
      <c r="HWG14" s="137" t="s">
        <v>6223</v>
      </c>
      <c r="HWH14" s="137" t="s">
        <v>6224</v>
      </c>
      <c r="HWI14" s="137" t="s">
        <v>6225</v>
      </c>
      <c r="HWJ14" s="137" t="s">
        <v>6226</v>
      </c>
      <c r="HWK14" s="137" t="s">
        <v>6227</v>
      </c>
      <c r="HWL14" s="137" t="s">
        <v>6228</v>
      </c>
      <c r="HWM14" s="137" t="s">
        <v>6229</v>
      </c>
      <c r="HWN14" s="137" t="s">
        <v>6230</v>
      </c>
      <c r="HWO14" s="137" t="s">
        <v>6231</v>
      </c>
      <c r="HWP14" s="137" t="s">
        <v>6232</v>
      </c>
      <c r="HWQ14" s="137" t="s">
        <v>6233</v>
      </c>
      <c r="HWR14" s="137" t="s">
        <v>6234</v>
      </c>
      <c r="HWS14" s="137" t="s">
        <v>6235</v>
      </c>
      <c r="HWT14" s="137" t="s">
        <v>6236</v>
      </c>
      <c r="HWU14" s="137" t="s">
        <v>6237</v>
      </c>
      <c r="HWV14" s="137" t="s">
        <v>6238</v>
      </c>
      <c r="HWW14" s="137" t="s">
        <v>6239</v>
      </c>
      <c r="HWX14" s="137" t="s">
        <v>6240</v>
      </c>
      <c r="HWY14" s="137" t="s">
        <v>6241</v>
      </c>
      <c r="HWZ14" s="137" t="s">
        <v>6242</v>
      </c>
      <c r="HXA14" s="137" t="s">
        <v>6243</v>
      </c>
      <c r="HXB14" s="137" t="s">
        <v>6244</v>
      </c>
      <c r="HXC14" s="137" t="s">
        <v>6245</v>
      </c>
      <c r="HXD14" s="137" t="s">
        <v>6246</v>
      </c>
      <c r="HXE14" s="137" t="s">
        <v>6247</v>
      </c>
      <c r="HXF14" s="137" t="s">
        <v>6248</v>
      </c>
      <c r="HXG14" s="137" t="s">
        <v>6249</v>
      </c>
      <c r="HXH14" s="137" t="s">
        <v>6250</v>
      </c>
      <c r="HXI14" s="137" t="s">
        <v>6251</v>
      </c>
      <c r="HXJ14" s="137" t="s">
        <v>6252</v>
      </c>
      <c r="HXK14" s="137" t="s">
        <v>6253</v>
      </c>
      <c r="HXL14" s="137" t="s">
        <v>6254</v>
      </c>
      <c r="HXM14" s="137" t="s">
        <v>6255</v>
      </c>
      <c r="HXN14" s="137" t="s">
        <v>6256</v>
      </c>
      <c r="HXO14" s="137" t="s">
        <v>6257</v>
      </c>
      <c r="HXP14" s="137" t="s">
        <v>6258</v>
      </c>
      <c r="HXQ14" s="137" t="s">
        <v>6259</v>
      </c>
      <c r="HXR14" s="137" t="s">
        <v>6260</v>
      </c>
      <c r="HXS14" s="137" t="s">
        <v>6261</v>
      </c>
      <c r="HXT14" s="137" t="s">
        <v>6262</v>
      </c>
      <c r="HXU14" s="137" t="s">
        <v>6263</v>
      </c>
      <c r="HXV14" s="137" t="s">
        <v>6264</v>
      </c>
      <c r="HXW14" s="137" t="s">
        <v>6265</v>
      </c>
      <c r="HXX14" s="137" t="s">
        <v>6266</v>
      </c>
      <c r="HXY14" s="137" t="s">
        <v>6267</v>
      </c>
      <c r="HXZ14" s="137" t="s">
        <v>6268</v>
      </c>
      <c r="HYA14" s="137" t="s">
        <v>6269</v>
      </c>
      <c r="HYB14" s="137" t="s">
        <v>6270</v>
      </c>
      <c r="HYC14" s="137" t="s">
        <v>6271</v>
      </c>
      <c r="HYD14" s="137" t="s">
        <v>6272</v>
      </c>
      <c r="HYE14" s="137" t="s">
        <v>6273</v>
      </c>
      <c r="HYF14" s="137" t="s">
        <v>6274</v>
      </c>
      <c r="HYG14" s="137" t="s">
        <v>6275</v>
      </c>
      <c r="HYH14" s="137" t="s">
        <v>6276</v>
      </c>
      <c r="HYI14" s="137" t="s">
        <v>6277</v>
      </c>
      <c r="HYJ14" s="137" t="s">
        <v>6278</v>
      </c>
      <c r="HYK14" s="137" t="s">
        <v>6279</v>
      </c>
      <c r="HYL14" s="137" t="s">
        <v>6280</v>
      </c>
      <c r="HYM14" s="137" t="s">
        <v>6281</v>
      </c>
      <c r="HYN14" s="137" t="s">
        <v>6282</v>
      </c>
      <c r="HYO14" s="137" t="s">
        <v>6283</v>
      </c>
      <c r="HYP14" s="137" t="s">
        <v>6284</v>
      </c>
      <c r="HYQ14" s="137" t="s">
        <v>6285</v>
      </c>
      <c r="HYR14" s="137" t="s">
        <v>6286</v>
      </c>
      <c r="HYS14" s="137" t="s">
        <v>6287</v>
      </c>
      <c r="HYT14" s="137" t="s">
        <v>6288</v>
      </c>
      <c r="HYU14" s="137" t="s">
        <v>6289</v>
      </c>
      <c r="HYV14" s="137" t="s">
        <v>6290</v>
      </c>
      <c r="HYW14" s="137" t="s">
        <v>6291</v>
      </c>
      <c r="HYX14" s="137" t="s">
        <v>6292</v>
      </c>
      <c r="HYY14" s="137" t="s">
        <v>6293</v>
      </c>
      <c r="HYZ14" s="137" t="s">
        <v>6294</v>
      </c>
      <c r="HZA14" s="137" t="s">
        <v>6295</v>
      </c>
      <c r="HZB14" s="137" t="s">
        <v>6296</v>
      </c>
      <c r="HZC14" s="137" t="s">
        <v>6297</v>
      </c>
      <c r="HZD14" s="137" t="s">
        <v>6298</v>
      </c>
      <c r="HZE14" s="137" t="s">
        <v>6299</v>
      </c>
      <c r="HZF14" s="137" t="s">
        <v>6300</v>
      </c>
      <c r="HZG14" s="137" t="s">
        <v>6301</v>
      </c>
      <c r="HZH14" s="137" t="s">
        <v>6302</v>
      </c>
      <c r="HZI14" s="137" t="s">
        <v>6303</v>
      </c>
      <c r="HZJ14" s="137" t="s">
        <v>6304</v>
      </c>
      <c r="HZK14" s="137" t="s">
        <v>6305</v>
      </c>
      <c r="HZL14" s="137" t="s">
        <v>6306</v>
      </c>
      <c r="HZM14" s="137" t="s">
        <v>6307</v>
      </c>
      <c r="HZN14" s="137" t="s">
        <v>6308</v>
      </c>
      <c r="HZO14" s="137" t="s">
        <v>6309</v>
      </c>
      <c r="HZP14" s="137" t="s">
        <v>6310</v>
      </c>
      <c r="HZQ14" s="137" t="s">
        <v>6311</v>
      </c>
      <c r="HZR14" s="137" t="s">
        <v>6312</v>
      </c>
      <c r="HZS14" s="137" t="s">
        <v>6313</v>
      </c>
      <c r="HZT14" s="137" t="s">
        <v>6314</v>
      </c>
      <c r="HZU14" s="137" t="s">
        <v>6315</v>
      </c>
      <c r="HZV14" s="137" t="s">
        <v>6316</v>
      </c>
      <c r="HZW14" s="137" t="s">
        <v>6317</v>
      </c>
      <c r="HZX14" s="137" t="s">
        <v>6318</v>
      </c>
      <c r="HZY14" s="137" t="s">
        <v>6319</v>
      </c>
      <c r="HZZ14" s="137" t="s">
        <v>6320</v>
      </c>
      <c r="IAA14" s="137" t="s">
        <v>6321</v>
      </c>
      <c r="IAB14" s="137" t="s">
        <v>6322</v>
      </c>
      <c r="IAC14" s="137" t="s">
        <v>6323</v>
      </c>
      <c r="IAD14" s="137" t="s">
        <v>6324</v>
      </c>
      <c r="IAE14" s="137" t="s">
        <v>6325</v>
      </c>
      <c r="IAF14" s="137" t="s">
        <v>6326</v>
      </c>
      <c r="IAG14" s="137" t="s">
        <v>6327</v>
      </c>
      <c r="IAH14" s="137" t="s">
        <v>6328</v>
      </c>
      <c r="IAI14" s="137" t="s">
        <v>6329</v>
      </c>
      <c r="IAJ14" s="137" t="s">
        <v>6330</v>
      </c>
      <c r="IAK14" s="137" t="s">
        <v>6331</v>
      </c>
      <c r="IAL14" s="137" t="s">
        <v>6332</v>
      </c>
      <c r="IAM14" s="137" t="s">
        <v>6333</v>
      </c>
      <c r="IAN14" s="137" t="s">
        <v>6334</v>
      </c>
      <c r="IAO14" s="137" t="s">
        <v>6335</v>
      </c>
      <c r="IAP14" s="137" t="s">
        <v>6336</v>
      </c>
      <c r="IAQ14" s="137" t="s">
        <v>6337</v>
      </c>
      <c r="IAR14" s="137" t="s">
        <v>6338</v>
      </c>
      <c r="IAS14" s="137" t="s">
        <v>6339</v>
      </c>
      <c r="IAT14" s="137" t="s">
        <v>6340</v>
      </c>
      <c r="IAU14" s="137" t="s">
        <v>6341</v>
      </c>
      <c r="IAV14" s="137" t="s">
        <v>6342</v>
      </c>
      <c r="IAW14" s="137" t="s">
        <v>6343</v>
      </c>
      <c r="IAX14" s="137" t="s">
        <v>6344</v>
      </c>
      <c r="IAY14" s="137" t="s">
        <v>6345</v>
      </c>
      <c r="IAZ14" s="137" t="s">
        <v>6346</v>
      </c>
      <c r="IBA14" s="137" t="s">
        <v>6347</v>
      </c>
      <c r="IBB14" s="137" t="s">
        <v>6348</v>
      </c>
      <c r="IBC14" s="137" t="s">
        <v>6349</v>
      </c>
      <c r="IBD14" s="137" t="s">
        <v>6350</v>
      </c>
      <c r="IBE14" s="137" t="s">
        <v>6351</v>
      </c>
      <c r="IBF14" s="137" t="s">
        <v>6352</v>
      </c>
      <c r="IBG14" s="137" t="s">
        <v>6353</v>
      </c>
      <c r="IBH14" s="137" t="s">
        <v>6354</v>
      </c>
      <c r="IBI14" s="137" t="s">
        <v>6355</v>
      </c>
      <c r="IBJ14" s="137" t="s">
        <v>6356</v>
      </c>
      <c r="IBK14" s="137" t="s">
        <v>6357</v>
      </c>
      <c r="IBL14" s="137" t="s">
        <v>6358</v>
      </c>
      <c r="IBM14" s="137" t="s">
        <v>6359</v>
      </c>
      <c r="IBN14" s="137" t="s">
        <v>6360</v>
      </c>
      <c r="IBO14" s="137" t="s">
        <v>6361</v>
      </c>
      <c r="IBP14" s="137" t="s">
        <v>6362</v>
      </c>
      <c r="IBQ14" s="137" t="s">
        <v>6363</v>
      </c>
      <c r="IBR14" s="137" t="s">
        <v>6364</v>
      </c>
      <c r="IBS14" s="137" t="s">
        <v>6365</v>
      </c>
      <c r="IBT14" s="137" t="s">
        <v>6366</v>
      </c>
      <c r="IBU14" s="137" t="s">
        <v>6367</v>
      </c>
      <c r="IBV14" s="137" t="s">
        <v>6368</v>
      </c>
      <c r="IBW14" s="137" t="s">
        <v>6369</v>
      </c>
      <c r="IBX14" s="137" t="s">
        <v>6370</v>
      </c>
      <c r="IBY14" s="137" t="s">
        <v>6371</v>
      </c>
      <c r="IBZ14" s="137" t="s">
        <v>6372</v>
      </c>
      <c r="ICA14" s="137" t="s">
        <v>6373</v>
      </c>
      <c r="ICB14" s="137" t="s">
        <v>6374</v>
      </c>
      <c r="ICC14" s="137" t="s">
        <v>6375</v>
      </c>
      <c r="ICD14" s="137" t="s">
        <v>6376</v>
      </c>
      <c r="ICE14" s="137" t="s">
        <v>6377</v>
      </c>
      <c r="ICF14" s="137" t="s">
        <v>6378</v>
      </c>
      <c r="ICG14" s="137" t="s">
        <v>6379</v>
      </c>
      <c r="ICH14" s="137" t="s">
        <v>6380</v>
      </c>
      <c r="ICI14" s="137" t="s">
        <v>6381</v>
      </c>
      <c r="ICJ14" s="137" t="s">
        <v>6382</v>
      </c>
      <c r="ICK14" s="137" t="s">
        <v>6383</v>
      </c>
      <c r="ICL14" s="137" t="s">
        <v>6384</v>
      </c>
      <c r="ICM14" s="137" t="s">
        <v>6385</v>
      </c>
      <c r="ICN14" s="137" t="s">
        <v>6386</v>
      </c>
      <c r="ICO14" s="137" t="s">
        <v>6387</v>
      </c>
      <c r="ICP14" s="137" t="s">
        <v>6388</v>
      </c>
      <c r="ICQ14" s="137" t="s">
        <v>6389</v>
      </c>
      <c r="ICR14" s="137" t="s">
        <v>6390</v>
      </c>
      <c r="ICS14" s="137" t="s">
        <v>6391</v>
      </c>
      <c r="ICT14" s="137" t="s">
        <v>6392</v>
      </c>
      <c r="ICU14" s="137" t="s">
        <v>6393</v>
      </c>
      <c r="ICV14" s="137" t="s">
        <v>6394</v>
      </c>
      <c r="ICW14" s="137" t="s">
        <v>6395</v>
      </c>
      <c r="ICX14" s="137" t="s">
        <v>6396</v>
      </c>
      <c r="ICY14" s="137" t="s">
        <v>6397</v>
      </c>
      <c r="ICZ14" s="137" t="s">
        <v>6398</v>
      </c>
      <c r="IDA14" s="137" t="s">
        <v>6399</v>
      </c>
      <c r="IDB14" s="137" t="s">
        <v>6400</v>
      </c>
      <c r="IDC14" s="137" t="s">
        <v>6401</v>
      </c>
      <c r="IDD14" s="137" t="s">
        <v>6402</v>
      </c>
      <c r="IDE14" s="137" t="s">
        <v>6403</v>
      </c>
      <c r="IDF14" s="137" t="s">
        <v>6404</v>
      </c>
      <c r="IDG14" s="137" t="s">
        <v>6405</v>
      </c>
      <c r="IDH14" s="137" t="s">
        <v>6406</v>
      </c>
      <c r="IDI14" s="137" t="s">
        <v>6407</v>
      </c>
      <c r="IDJ14" s="137" t="s">
        <v>6408</v>
      </c>
      <c r="IDK14" s="137" t="s">
        <v>6409</v>
      </c>
      <c r="IDL14" s="137" t="s">
        <v>6410</v>
      </c>
      <c r="IDM14" s="137" t="s">
        <v>6411</v>
      </c>
      <c r="IDN14" s="137" t="s">
        <v>6412</v>
      </c>
      <c r="IDO14" s="137" t="s">
        <v>6413</v>
      </c>
      <c r="IDP14" s="137" t="s">
        <v>6414</v>
      </c>
      <c r="IDQ14" s="137" t="s">
        <v>6415</v>
      </c>
      <c r="IDR14" s="137" t="s">
        <v>6416</v>
      </c>
      <c r="IDS14" s="137" t="s">
        <v>6417</v>
      </c>
      <c r="IDT14" s="137" t="s">
        <v>6418</v>
      </c>
      <c r="IDU14" s="137" t="s">
        <v>6419</v>
      </c>
      <c r="IDV14" s="137" t="s">
        <v>6420</v>
      </c>
      <c r="IDW14" s="137" t="s">
        <v>6421</v>
      </c>
      <c r="IDX14" s="137" t="s">
        <v>6422</v>
      </c>
      <c r="IDY14" s="137" t="s">
        <v>6423</v>
      </c>
      <c r="IDZ14" s="137" t="s">
        <v>6424</v>
      </c>
      <c r="IEA14" s="137" t="s">
        <v>6425</v>
      </c>
      <c r="IEB14" s="137" t="s">
        <v>6426</v>
      </c>
      <c r="IEC14" s="137" t="s">
        <v>6427</v>
      </c>
      <c r="IED14" s="137" t="s">
        <v>6428</v>
      </c>
      <c r="IEE14" s="137" t="s">
        <v>6429</v>
      </c>
      <c r="IEF14" s="137" t="s">
        <v>6430</v>
      </c>
      <c r="IEG14" s="137" t="s">
        <v>6431</v>
      </c>
      <c r="IEH14" s="137" t="s">
        <v>6432</v>
      </c>
      <c r="IEI14" s="137" t="s">
        <v>6433</v>
      </c>
      <c r="IEJ14" s="137" t="s">
        <v>6434</v>
      </c>
      <c r="IEK14" s="137" t="s">
        <v>6435</v>
      </c>
      <c r="IEL14" s="137" t="s">
        <v>6436</v>
      </c>
      <c r="IEM14" s="137" t="s">
        <v>6437</v>
      </c>
      <c r="IEN14" s="137" t="s">
        <v>6438</v>
      </c>
      <c r="IEO14" s="137" t="s">
        <v>6439</v>
      </c>
      <c r="IEP14" s="137" t="s">
        <v>6440</v>
      </c>
      <c r="IEQ14" s="137" t="s">
        <v>6441</v>
      </c>
      <c r="IER14" s="137" t="s">
        <v>6442</v>
      </c>
      <c r="IES14" s="137" t="s">
        <v>6443</v>
      </c>
      <c r="IET14" s="137" t="s">
        <v>6444</v>
      </c>
      <c r="IEU14" s="137" t="s">
        <v>6445</v>
      </c>
      <c r="IEV14" s="137" t="s">
        <v>6446</v>
      </c>
      <c r="IEW14" s="137" t="s">
        <v>6447</v>
      </c>
      <c r="IEX14" s="137" t="s">
        <v>6448</v>
      </c>
      <c r="IEY14" s="137" t="s">
        <v>6449</v>
      </c>
      <c r="IEZ14" s="137" t="s">
        <v>6450</v>
      </c>
      <c r="IFA14" s="137" t="s">
        <v>6451</v>
      </c>
      <c r="IFB14" s="137" t="s">
        <v>6452</v>
      </c>
      <c r="IFC14" s="137" t="s">
        <v>6453</v>
      </c>
      <c r="IFD14" s="137" t="s">
        <v>6454</v>
      </c>
      <c r="IFE14" s="137" t="s">
        <v>6455</v>
      </c>
      <c r="IFF14" s="137" t="s">
        <v>6456</v>
      </c>
      <c r="IFG14" s="137" t="s">
        <v>6457</v>
      </c>
      <c r="IFH14" s="137" t="s">
        <v>6458</v>
      </c>
      <c r="IFI14" s="137" t="s">
        <v>6459</v>
      </c>
      <c r="IFJ14" s="137" t="s">
        <v>6460</v>
      </c>
      <c r="IFK14" s="137" t="s">
        <v>6461</v>
      </c>
      <c r="IFL14" s="137" t="s">
        <v>6462</v>
      </c>
      <c r="IFM14" s="137" t="s">
        <v>6463</v>
      </c>
      <c r="IFN14" s="137" t="s">
        <v>6464</v>
      </c>
      <c r="IFO14" s="137" t="s">
        <v>6465</v>
      </c>
      <c r="IFP14" s="137" t="s">
        <v>6466</v>
      </c>
      <c r="IFQ14" s="137" t="s">
        <v>6467</v>
      </c>
      <c r="IFR14" s="137" t="s">
        <v>6468</v>
      </c>
      <c r="IFS14" s="137" t="s">
        <v>6469</v>
      </c>
      <c r="IFT14" s="137" t="s">
        <v>6470</v>
      </c>
      <c r="IFU14" s="137" t="s">
        <v>6471</v>
      </c>
      <c r="IFV14" s="137" t="s">
        <v>6472</v>
      </c>
      <c r="IFW14" s="137" t="s">
        <v>6473</v>
      </c>
      <c r="IFX14" s="137" t="s">
        <v>6474</v>
      </c>
      <c r="IFY14" s="137" t="s">
        <v>6475</v>
      </c>
      <c r="IFZ14" s="137" t="s">
        <v>6476</v>
      </c>
      <c r="IGA14" s="137" t="s">
        <v>6477</v>
      </c>
      <c r="IGB14" s="137" t="s">
        <v>6478</v>
      </c>
      <c r="IGC14" s="137" t="s">
        <v>6479</v>
      </c>
      <c r="IGD14" s="137" t="s">
        <v>6480</v>
      </c>
      <c r="IGE14" s="137" t="s">
        <v>6481</v>
      </c>
      <c r="IGF14" s="137" t="s">
        <v>6482</v>
      </c>
      <c r="IGG14" s="137" t="s">
        <v>6483</v>
      </c>
      <c r="IGH14" s="137" t="s">
        <v>6484</v>
      </c>
      <c r="IGI14" s="137" t="s">
        <v>6485</v>
      </c>
      <c r="IGJ14" s="137" t="s">
        <v>6486</v>
      </c>
      <c r="IGK14" s="137" t="s">
        <v>6487</v>
      </c>
      <c r="IGL14" s="137" t="s">
        <v>6488</v>
      </c>
      <c r="IGM14" s="137" t="s">
        <v>6489</v>
      </c>
      <c r="IGN14" s="137" t="s">
        <v>6490</v>
      </c>
      <c r="IGO14" s="137" t="s">
        <v>6491</v>
      </c>
      <c r="IGP14" s="137" t="s">
        <v>6492</v>
      </c>
      <c r="IGQ14" s="137" t="s">
        <v>6493</v>
      </c>
      <c r="IGR14" s="137" t="s">
        <v>6494</v>
      </c>
      <c r="IGS14" s="137" t="s">
        <v>6495</v>
      </c>
      <c r="IGT14" s="137" t="s">
        <v>6496</v>
      </c>
      <c r="IGU14" s="137" t="s">
        <v>6497</v>
      </c>
      <c r="IGV14" s="137" t="s">
        <v>6498</v>
      </c>
      <c r="IGW14" s="137" t="s">
        <v>6499</v>
      </c>
      <c r="IGX14" s="137" t="s">
        <v>6500</v>
      </c>
      <c r="IGY14" s="137" t="s">
        <v>6501</v>
      </c>
      <c r="IGZ14" s="137" t="s">
        <v>6502</v>
      </c>
      <c r="IHA14" s="137" t="s">
        <v>6503</v>
      </c>
      <c r="IHB14" s="137" t="s">
        <v>6504</v>
      </c>
      <c r="IHC14" s="137" t="s">
        <v>6505</v>
      </c>
      <c r="IHD14" s="137" t="s">
        <v>6506</v>
      </c>
      <c r="IHE14" s="137" t="s">
        <v>6507</v>
      </c>
      <c r="IHF14" s="137" t="s">
        <v>6508</v>
      </c>
      <c r="IHG14" s="137" t="s">
        <v>6509</v>
      </c>
      <c r="IHH14" s="137" t="s">
        <v>6510</v>
      </c>
      <c r="IHI14" s="137" t="s">
        <v>6511</v>
      </c>
      <c r="IHJ14" s="137" t="s">
        <v>6512</v>
      </c>
      <c r="IHK14" s="137" t="s">
        <v>6513</v>
      </c>
      <c r="IHL14" s="137" t="s">
        <v>6514</v>
      </c>
      <c r="IHM14" s="137" t="s">
        <v>6515</v>
      </c>
      <c r="IHN14" s="137" t="s">
        <v>6516</v>
      </c>
      <c r="IHO14" s="137" t="s">
        <v>6517</v>
      </c>
      <c r="IHP14" s="137" t="s">
        <v>6518</v>
      </c>
      <c r="IHQ14" s="137" t="s">
        <v>6519</v>
      </c>
      <c r="IHR14" s="137" t="s">
        <v>6520</v>
      </c>
      <c r="IHS14" s="137" t="s">
        <v>6521</v>
      </c>
      <c r="IHT14" s="137" t="s">
        <v>6522</v>
      </c>
      <c r="IHU14" s="137" t="s">
        <v>6523</v>
      </c>
      <c r="IHV14" s="137" t="s">
        <v>6524</v>
      </c>
      <c r="IHW14" s="137" t="s">
        <v>6525</v>
      </c>
      <c r="IHX14" s="137" t="s">
        <v>6526</v>
      </c>
      <c r="IHY14" s="137" t="s">
        <v>6527</v>
      </c>
      <c r="IHZ14" s="137" t="s">
        <v>6528</v>
      </c>
      <c r="IIA14" s="137" t="s">
        <v>6529</v>
      </c>
      <c r="IIB14" s="137" t="s">
        <v>6530</v>
      </c>
      <c r="IIC14" s="137" t="s">
        <v>6531</v>
      </c>
      <c r="IID14" s="137" t="s">
        <v>6532</v>
      </c>
      <c r="IIE14" s="137" t="s">
        <v>6533</v>
      </c>
      <c r="IIF14" s="137" t="s">
        <v>6534</v>
      </c>
      <c r="IIG14" s="137" t="s">
        <v>6535</v>
      </c>
      <c r="IIH14" s="137" t="s">
        <v>6536</v>
      </c>
      <c r="III14" s="137" t="s">
        <v>6537</v>
      </c>
      <c r="IIJ14" s="137" t="s">
        <v>6538</v>
      </c>
      <c r="IIK14" s="137" t="s">
        <v>6539</v>
      </c>
      <c r="IIL14" s="137" t="s">
        <v>6540</v>
      </c>
      <c r="IIM14" s="137" t="s">
        <v>6541</v>
      </c>
      <c r="IIN14" s="137" t="s">
        <v>6542</v>
      </c>
      <c r="IIO14" s="137" t="s">
        <v>6543</v>
      </c>
      <c r="IIP14" s="137" t="s">
        <v>6544</v>
      </c>
      <c r="IIQ14" s="137" t="s">
        <v>6545</v>
      </c>
      <c r="IIR14" s="137" t="s">
        <v>6546</v>
      </c>
      <c r="IIS14" s="137" t="s">
        <v>6547</v>
      </c>
      <c r="IIT14" s="137" t="s">
        <v>6548</v>
      </c>
      <c r="IIU14" s="137" t="s">
        <v>6549</v>
      </c>
      <c r="IIV14" s="137" t="s">
        <v>6550</v>
      </c>
      <c r="IIW14" s="137" t="s">
        <v>6551</v>
      </c>
      <c r="IIX14" s="137" t="s">
        <v>6552</v>
      </c>
      <c r="IIY14" s="137" t="s">
        <v>6553</v>
      </c>
      <c r="IIZ14" s="137" t="s">
        <v>6554</v>
      </c>
      <c r="IJA14" s="137" t="s">
        <v>6555</v>
      </c>
      <c r="IJB14" s="137" t="s">
        <v>6556</v>
      </c>
      <c r="IJC14" s="137" t="s">
        <v>6557</v>
      </c>
      <c r="IJD14" s="137" t="s">
        <v>6558</v>
      </c>
      <c r="IJE14" s="137" t="s">
        <v>6559</v>
      </c>
      <c r="IJF14" s="137" t="s">
        <v>6560</v>
      </c>
      <c r="IJG14" s="137" t="s">
        <v>6561</v>
      </c>
      <c r="IJH14" s="137" t="s">
        <v>6562</v>
      </c>
      <c r="IJI14" s="137" t="s">
        <v>6563</v>
      </c>
      <c r="IJJ14" s="137" t="s">
        <v>6564</v>
      </c>
      <c r="IJK14" s="137" t="s">
        <v>6565</v>
      </c>
      <c r="IJL14" s="137" t="s">
        <v>6566</v>
      </c>
      <c r="IJM14" s="137" t="s">
        <v>6567</v>
      </c>
      <c r="IJN14" s="137" t="s">
        <v>6568</v>
      </c>
      <c r="IJO14" s="137" t="s">
        <v>6569</v>
      </c>
      <c r="IJP14" s="137" t="s">
        <v>6570</v>
      </c>
      <c r="IJQ14" s="137" t="s">
        <v>6571</v>
      </c>
      <c r="IJR14" s="137" t="s">
        <v>6572</v>
      </c>
      <c r="IJS14" s="137" t="s">
        <v>6573</v>
      </c>
      <c r="IJT14" s="137" t="s">
        <v>6574</v>
      </c>
      <c r="IJU14" s="137" t="s">
        <v>6575</v>
      </c>
      <c r="IJV14" s="137" t="s">
        <v>6576</v>
      </c>
      <c r="IJW14" s="137" t="s">
        <v>6577</v>
      </c>
      <c r="IJX14" s="137" t="s">
        <v>6578</v>
      </c>
      <c r="IJY14" s="137" t="s">
        <v>6579</v>
      </c>
      <c r="IJZ14" s="137" t="s">
        <v>6580</v>
      </c>
      <c r="IKA14" s="137" t="s">
        <v>6581</v>
      </c>
      <c r="IKB14" s="137" t="s">
        <v>6582</v>
      </c>
      <c r="IKC14" s="137" t="s">
        <v>6583</v>
      </c>
      <c r="IKD14" s="137" t="s">
        <v>6584</v>
      </c>
      <c r="IKE14" s="137" t="s">
        <v>6585</v>
      </c>
      <c r="IKF14" s="137" t="s">
        <v>6586</v>
      </c>
      <c r="IKG14" s="137" t="s">
        <v>6587</v>
      </c>
      <c r="IKH14" s="137" t="s">
        <v>6588</v>
      </c>
      <c r="IKI14" s="137" t="s">
        <v>6589</v>
      </c>
      <c r="IKJ14" s="137" t="s">
        <v>6590</v>
      </c>
      <c r="IKK14" s="137" t="s">
        <v>6591</v>
      </c>
      <c r="IKL14" s="137" t="s">
        <v>6592</v>
      </c>
      <c r="IKM14" s="137" t="s">
        <v>6593</v>
      </c>
      <c r="IKN14" s="137" t="s">
        <v>6594</v>
      </c>
      <c r="IKO14" s="137" t="s">
        <v>6595</v>
      </c>
      <c r="IKP14" s="137" t="s">
        <v>6596</v>
      </c>
      <c r="IKQ14" s="137" t="s">
        <v>6597</v>
      </c>
      <c r="IKR14" s="137" t="s">
        <v>6598</v>
      </c>
      <c r="IKS14" s="137" t="s">
        <v>6599</v>
      </c>
      <c r="IKT14" s="137" t="s">
        <v>6600</v>
      </c>
      <c r="IKU14" s="137" t="s">
        <v>6601</v>
      </c>
      <c r="IKV14" s="137" t="s">
        <v>6602</v>
      </c>
      <c r="IKW14" s="137" t="s">
        <v>6603</v>
      </c>
      <c r="IKX14" s="137" t="s">
        <v>6604</v>
      </c>
      <c r="IKY14" s="137" t="s">
        <v>6605</v>
      </c>
      <c r="IKZ14" s="137" t="s">
        <v>6606</v>
      </c>
      <c r="ILA14" s="137" t="s">
        <v>6607</v>
      </c>
      <c r="ILB14" s="137" t="s">
        <v>6608</v>
      </c>
      <c r="ILC14" s="137" t="s">
        <v>6609</v>
      </c>
      <c r="ILD14" s="137" t="s">
        <v>6610</v>
      </c>
      <c r="ILE14" s="137" t="s">
        <v>6611</v>
      </c>
      <c r="ILF14" s="137" t="s">
        <v>6612</v>
      </c>
      <c r="ILG14" s="137" t="s">
        <v>6613</v>
      </c>
      <c r="ILH14" s="137" t="s">
        <v>6614</v>
      </c>
      <c r="ILI14" s="137" t="s">
        <v>6615</v>
      </c>
      <c r="ILJ14" s="137" t="s">
        <v>6616</v>
      </c>
      <c r="ILK14" s="137" t="s">
        <v>6617</v>
      </c>
      <c r="ILL14" s="137" t="s">
        <v>6618</v>
      </c>
      <c r="ILM14" s="137" t="s">
        <v>6619</v>
      </c>
      <c r="ILN14" s="137" t="s">
        <v>6620</v>
      </c>
      <c r="ILO14" s="137" t="s">
        <v>6621</v>
      </c>
      <c r="ILP14" s="137" t="s">
        <v>6622</v>
      </c>
      <c r="ILQ14" s="137" t="s">
        <v>6623</v>
      </c>
      <c r="ILR14" s="137" t="s">
        <v>6624</v>
      </c>
      <c r="ILS14" s="137" t="s">
        <v>6625</v>
      </c>
      <c r="ILT14" s="137" t="s">
        <v>6626</v>
      </c>
      <c r="ILU14" s="137" t="s">
        <v>6627</v>
      </c>
      <c r="ILV14" s="137" t="s">
        <v>6628</v>
      </c>
      <c r="ILW14" s="137" t="s">
        <v>6629</v>
      </c>
      <c r="ILX14" s="137" t="s">
        <v>6630</v>
      </c>
      <c r="ILY14" s="137" t="s">
        <v>6631</v>
      </c>
      <c r="ILZ14" s="137" t="s">
        <v>6632</v>
      </c>
      <c r="IMA14" s="137" t="s">
        <v>6633</v>
      </c>
      <c r="IMB14" s="137" t="s">
        <v>6634</v>
      </c>
      <c r="IMC14" s="137" t="s">
        <v>6635</v>
      </c>
      <c r="IMD14" s="137" t="s">
        <v>6636</v>
      </c>
      <c r="IME14" s="137" t="s">
        <v>6637</v>
      </c>
      <c r="IMF14" s="137" t="s">
        <v>6638</v>
      </c>
      <c r="IMG14" s="137" t="s">
        <v>6639</v>
      </c>
      <c r="IMH14" s="137" t="s">
        <v>6640</v>
      </c>
      <c r="IMI14" s="137" t="s">
        <v>6641</v>
      </c>
      <c r="IMJ14" s="137" t="s">
        <v>6642</v>
      </c>
      <c r="IMK14" s="137" t="s">
        <v>6643</v>
      </c>
      <c r="IML14" s="137" t="s">
        <v>6644</v>
      </c>
      <c r="IMM14" s="137" t="s">
        <v>6645</v>
      </c>
      <c r="IMN14" s="137" t="s">
        <v>6646</v>
      </c>
      <c r="IMO14" s="137" t="s">
        <v>6647</v>
      </c>
      <c r="IMP14" s="137" t="s">
        <v>6648</v>
      </c>
      <c r="IMQ14" s="137" t="s">
        <v>6649</v>
      </c>
      <c r="IMR14" s="137" t="s">
        <v>6650</v>
      </c>
      <c r="IMS14" s="137" t="s">
        <v>6651</v>
      </c>
      <c r="IMT14" s="137" t="s">
        <v>6652</v>
      </c>
      <c r="IMU14" s="137" t="s">
        <v>6653</v>
      </c>
      <c r="IMV14" s="137" t="s">
        <v>6654</v>
      </c>
      <c r="IMW14" s="137" t="s">
        <v>6655</v>
      </c>
      <c r="IMX14" s="137" t="s">
        <v>6656</v>
      </c>
      <c r="IMY14" s="137" t="s">
        <v>6657</v>
      </c>
      <c r="IMZ14" s="137" t="s">
        <v>6658</v>
      </c>
      <c r="INA14" s="137" t="s">
        <v>6659</v>
      </c>
      <c r="INB14" s="137" t="s">
        <v>6660</v>
      </c>
      <c r="INC14" s="137" t="s">
        <v>6661</v>
      </c>
      <c r="IND14" s="137" t="s">
        <v>6662</v>
      </c>
      <c r="INE14" s="137" t="s">
        <v>6663</v>
      </c>
      <c r="INF14" s="137" t="s">
        <v>6664</v>
      </c>
      <c r="ING14" s="137" t="s">
        <v>6665</v>
      </c>
      <c r="INH14" s="137" t="s">
        <v>6666</v>
      </c>
      <c r="INI14" s="137" t="s">
        <v>6667</v>
      </c>
      <c r="INJ14" s="137" t="s">
        <v>6668</v>
      </c>
      <c r="INK14" s="137" t="s">
        <v>6669</v>
      </c>
      <c r="INL14" s="137" t="s">
        <v>6670</v>
      </c>
      <c r="INM14" s="137" t="s">
        <v>6671</v>
      </c>
      <c r="INN14" s="137" t="s">
        <v>6672</v>
      </c>
      <c r="INO14" s="137" t="s">
        <v>6673</v>
      </c>
      <c r="INP14" s="137" t="s">
        <v>6674</v>
      </c>
      <c r="INQ14" s="137" t="s">
        <v>6675</v>
      </c>
      <c r="INR14" s="137" t="s">
        <v>6676</v>
      </c>
      <c r="INS14" s="137" t="s">
        <v>6677</v>
      </c>
      <c r="INT14" s="137" t="s">
        <v>6678</v>
      </c>
      <c r="INU14" s="137" t="s">
        <v>6679</v>
      </c>
      <c r="INV14" s="137" t="s">
        <v>6680</v>
      </c>
      <c r="INW14" s="137" t="s">
        <v>6681</v>
      </c>
      <c r="INX14" s="137" t="s">
        <v>6682</v>
      </c>
      <c r="INY14" s="137" t="s">
        <v>6683</v>
      </c>
      <c r="INZ14" s="137" t="s">
        <v>6684</v>
      </c>
      <c r="IOA14" s="137" t="s">
        <v>6685</v>
      </c>
      <c r="IOB14" s="137" t="s">
        <v>6686</v>
      </c>
      <c r="IOC14" s="137" t="s">
        <v>6687</v>
      </c>
      <c r="IOD14" s="137" t="s">
        <v>6688</v>
      </c>
      <c r="IOE14" s="137" t="s">
        <v>6689</v>
      </c>
      <c r="IOF14" s="137" t="s">
        <v>6690</v>
      </c>
      <c r="IOG14" s="137" t="s">
        <v>6691</v>
      </c>
      <c r="IOH14" s="137" t="s">
        <v>6692</v>
      </c>
      <c r="IOI14" s="137" t="s">
        <v>6693</v>
      </c>
      <c r="IOJ14" s="137" t="s">
        <v>6694</v>
      </c>
      <c r="IOK14" s="137" t="s">
        <v>6695</v>
      </c>
      <c r="IOL14" s="137" t="s">
        <v>6696</v>
      </c>
      <c r="IOM14" s="137" t="s">
        <v>6697</v>
      </c>
      <c r="ION14" s="137" t="s">
        <v>6698</v>
      </c>
      <c r="IOO14" s="137" t="s">
        <v>6699</v>
      </c>
      <c r="IOP14" s="137" t="s">
        <v>6700</v>
      </c>
      <c r="IOQ14" s="137" t="s">
        <v>6701</v>
      </c>
      <c r="IOR14" s="137" t="s">
        <v>6702</v>
      </c>
      <c r="IOS14" s="137" t="s">
        <v>6703</v>
      </c>
      <c r="IOT14" s="137" t="s">
        <v>6704</v>
      </c>
      <c r="IOU14" s="137" t="s">
        <v>6705</v>
      </c>
      <c r="IOV14" s="137" t="s">
        <v>6706</v>
      </c>
      <c r="IOW14" s="137" t="s">
        <v>6707</v>
      </c>
      <c r="IOX14" s="137" t="s">
        <v>6708</v>
      </c>
      <c r="IOY14" s="137" t="s">
        <v>6709</v>
      </c>
      <c r="IOZ14" s="137" t="s">
        <v>6710</v>
      </c>
      <c r="IPA14" s="137" t="s">
        <v>6711</v>
      </c>
      <c r="IPB14" s="137" t="s">
        <v>6712</v>
      </c>
      <c r="IPC14" s="137" t="s">
        <v>6713</v>
      </c>
      <c r="IPD14" s="137" t="s">
        <v>6714</v>
      </c>
      <c r="IPE14" s="137" t="s">
        <v>6715</v>
      </c>
      <c r="IPF14" s="137" t="s">
        <v>6716</v>
      </c>
      <c r="IPG14" s="137" t="s">
        <v>6717</v>
      </c>
      <c r="IPH14" s="137" t="s">
        <v>6718</v>
      </c>
      <c r="IPI14" s="137" t="s">
        <v>6719</v>
      </c>
      <c r="IPJ14" s="137" t="s">
        <v>6720</v>
      </c>
      <c r="IPK14" s="137" t="s">
        <v>6721</v>
      </c>
      <c r="IPL14" s="137" t="s">
        <v>6722</v>
      </c>
      <c r="IPM14" s="137" t="s">
        <v>6723</v>
      </c>
      <c r="IPN14" s="137" t="s">
        <v>6724</v>
      </c>
      <c r="IPO14" s="137" t="s">
        <v>6725</v>
      </c>
      <c r="IPP14" s="137" t="s">
        <v>6726</v>
      </c>
      <c r="IPQ14" s="137" t="s">
        <v>6727</v>
      </c>
      <c r="IPR14" s="137" t="s">
        <v>6728</v>
      </c>
      <c r="IPS14" s="137" t="s">
        <v>6729</v>
      </c>
      <c r="IPT14" s="137" t="s">
        <v>6730</v>
      </c>
      <c r="IPU14" s="137" t="s">
        <v>6731</v>
      </c>
      <c r="IPV14" s="137" t="s">
        <v>6732</v>
      </c>
      <c r="IPW14" s="137" t="s">
        <v>6733</v>
      </c>
      <c r="IPX14" s="137" t="s">
        <v>6734</v>
      </c>
      <c r="IPY14" s="137" t="s">
        <v>6735</v>
      </c>
      <c r="IPZ14" s="137" t="s">
        <v>6736</v>
      </c>
      <c r="IQA14" s="137" t="s">
        <v>6737</v>
      </c>
      <c r="IQB14" s="137" t="s">
        <v>6738</v>
      </c>
      <c r="IQC14" s="137" t="s">
        <v>6739</v>
      </c>
      <c r="IQD14" s="137" t="s">
        <v>6740</v>
      </c>
      <c r="IQE14" s="137" t="s">
        <v>6741</v>
      </c>
      <c r="IQF14" s="137" t="s">
        <v>6742</v>
      </c>
      <c r="IQG14" s="137" t="s">
        <v>6743</v>
      </c>
      <c r="IQH14" s="137" t="s">
        <v>6744</v>
      </c>
      <c r="IQI14" s="137" t="s">
        <v>6745</v>
      </c>
      <c r="IQJ14" s="137" t="s">
        <v>6746</v>
      </c>
      <c r="IQK14" s="137" t="s">
        <v>6747</v>
      </c>
      <c r="IQL14" s="137" t="s">
        <v>6748</v>
      </c>
      <c r="IQM14" s="137" t="s">
        <v>6749</v>
      </c>
      <c r="IQN14" s="137" t="s">
        <v>6750</v>
      </c>
      <c r="IQO14" s="137" t="s">
        <v>6751</v>
      </c>
      <c r="IQP14" s="137" t="s">
        <v>6752</v>
      </c>
      <c r="IQQ14" s="137" t="s">
        <v>6753</v>
      </c>
      <c r="IQR14" s="137" t="s">
        <v>6754</v>
      </c>
      <c r="IQS14" s="137" t="s">
        <v>6755</v>
      </c>
      <c r="IQT14" s="137" t="s">
        <v>6756</v>
      </c>
      <c r="IQU14" s="137" t="s">
        <v>6757</v>
      </c>
      <c r="IQV14" s="137" t="s">
        <v>6758</v>
      </c>
      <c r="IQW14" s="137" t="s">
        <v>6759</v>
      </c>
      <c r="IQX14" s="137" t="s">
        <v>6760</v>
      </c>
      <c r="IQY14" s="137" t="s">
        <v>6761</v>
      </c>
      <c r="IQZ14" s="137" t="s">
        <v>6762</v>
      </c>
      <c r="IRA14" s="137" t="s">
        <v>6763</v>
      </c>
      <c r="IRB14" s="137" t="s">
        <v>6764</v>
      </c>
      <c r="IRC14" s="137" t="s">
        <v>6765</v>
      </c>
      <c r="IRD14" s="137" t="s">
        <v>6766</v>
      </c>
      <c r="IRE14" s="137" t="s">
        <v>6767</v>
      </c>
      <c r="IRF14" s="137" t="s">
        <v>6768</v>
      </c>
      <c r="IRG14" s="137" t="s">
        <v>6769</v>
      </c>
      <c r="IRH14" s="137" t="s">
        <v>6770</v>
      </c>
      <c r="IRI14" s="137" t="s">
        <v>6771</v>
      </c>
      <c r="IRJ14" s="137" t="s">
        <v>6772</v>
      </c>
      <c r="IRK14" s="137" t="s">
        <v>6773</v>
      </c>
      <c r="IRL14" s="137" t="s">
        <v>6774</v>
      </c>
      <c r="IRM14" s="137" t="s">
        <v>6775</v>
      </c>
      <c r="IRN14" s="137" t="s">
        <v>6776</v>
      </c>
      <c r="IRO14" s="137" t="s">
        <v>6777</v>
      </c>
      <c r="IRP14" s="137" t="s">
        <v>6778</v>
      </c>
      <c r="IRQ14" s="137" t="s">
        <v>6779</v>
      </c>
      <c r="IRR14" s="137" t="s">
        <v>6780</v>
      </c>
      <c r="IRS14" s="137" t="s">
        <v>6781</v>
      </c>
      <c r="IRT14" s="137" t="s">
        <v>6782</v>
      </c>
      <c r="IRU14" s="137" t="s">
        <v>6783</v>
      </c>
      <c r="IRV14" s="137" t="s">
        <v>6784</v>
      </c>
      <c r="IRW14" s="137" t="s">
        <v>6785</v>
      </c>
      <c r="IRX14" s="137" t="s">
        <v>6786</v>
      </c>
      <c r="IRY14" s="137" t="s">
        <v>6787</v>
      </c>
      <c r="IRZ14" s="137" t="s">
        <v>6788</v>
      </c>
      <c r="ISA14" s="137" t="s">
        <v>6789</v>
      </c>
      <c r="ISB14" s="137" t="s">
        <v>6790</v>
      </c>
      <c r="ISC14" s="137" t="s">
        <v>6791</v>
      </c>
      <c r="ISD14" s="137" t="s">
        <v>6792</v>
      </c>
      <c r="ISE14" s="137" t="s">
        <v>6793</v>
      </c>
      <c r="ISF14" s="137" t="s">
        <v>6794</v>
      </c>
      <c r="ISG14" s="137" t="s">
        <v>6795</v>
      </c>
      <c r="ISH14" s="137" t="s">
        <v>6796</v>
      </c>
      <c r="ISI14" s="137" t="s">
        <v>6797</v>
      </c>
      <c r="ISJ14" s="137" t="s">
        <v>6798</v>
      </c>
      <c r="ISK14" s="137" t="s">
        <v>6799</v>
      </c>
      <c r="ISL14" s="137" t="s">
        <v>6800</v>
      </c>
      <c r="ISM14" s="137" t="s">
        <v>6801</v>
      </c>
      <c r="ISN14" s="137" t="s">
        <v>6802</v>
      </c>
      <c r="ISO14" s="137" t="s">
        <v>6803</v>
      </c>
      <c r="ISP14" s="137" t="s">
        <v>6804</v>
      </c>
      <c r="ISQ14" s="137" t="s">
        <v>6805</v>
      </c>
      <c r="ISR14" s="137" t="s">
        <v>6806</v>
      </c>
      <c r="ISS14" s="137" t="s">
        <v>6807</v>
      </c>
      <c r="IST14" s="137" t="s">
        <v>6808</v>
      </c>
      <c r="ISU14" s="137" t="s">
        <v>6809</v>
      </c>
      <c r="ISV14" s="137" t="s">
        <v>6810</v>
      </c>
      <c r="ISW14" s="137" t="s">
        <v>6811</v>
      </c>
      <c r="ISX14" s="137" t="s">
        <v>6812</v>
      </c>
      <c r="ISY14" s="137" t="s">
        <v>6813</v>
      </c>
      <c r="ISZ14" s="137" t="s">
        <v>6814</v>
      </c>
      <c r="ITA14" s="137" t="s">
        <v>6815</v>
      </c>
      <c r="ITB14" s="137" t="s">
        <v>6816</v>
      </c>
      <c r="ITC14" s="137" t="s">
        <v>6817</v>
      </c>
      <c r="ITD14" s="137" t="s">
        <v>6818</v>
      </c>
      <c r="ITE14" s="137" t="s">
        <v>6819</v>
      </c>
      <c r="ITF14" s="137" t="s">
        <v>6820</v>
      </c>
      <c r="ITG14" s="137" t="s">
        <v>6821</v>
      </c>
      <c r="ITH14" s="137" t="s">
        <v>6822</v>
      </c>
      <c r="ITI14" s="137" t="s">
        <v>6823</v>
      </c>
      <c r="ITJ14" s="137" t="s">
        <v>6824</v>
      </c>
      <c r="ITK14" s="137" t="s">
        <v>6825</v>
      </c>
      <c r="ITL14" s="137" t="s">
        <v>6826</v>
      </c>
      <c r="ITM14" s="137" t="s">
        <v>6827</v>
      </c>
      <c r="ITN14" s="137" t="s">
        <v>6828</v>
      </c>
      <c r="ITO14" s="137" t="s">
        <v>6829</v>
      </c>
      <c r="ITP14" s="137" t="s">
        <v>6830</v>
      </c>
      <c r="ITQ14" s="137" t="s">
        <v>6831</v>
      </c>
      <c r="ITR14" s="137" t="s">
        <v>6832</v>
      </c>
      <c r="ITS14" s="137" t="s">
        <v>6833</v>
      </c>
      <c r="ITT14" s="137" t="s">
        <v>6834</v>
      </c>
      <c r="ITU14" s="137" t="s">
        <v>6835</v>
      </c>
      <c r="ITV14" s="137" t="s">
        <v>6836</v>
      </c>
      <c r="ITW14" s="137" t="s">
        <v>6837</v>
      </c>
      <c r="ITX14" s="137" t="s">
        <v>6838</v>
      </c>
      <c r="ITY14" s="137" t="s">
        <v>6839</v>
      </c>
      <c r="ITZ14" s="137" t="s">
        <v>6840</v>
      </c>
      <c r="IUA14" s="137" t="s">
        <v>6841</v>
      </c>
      <c r="IUB14" s="137" t="s">
        <v>6842</v>
      </c>
      <c r="IUC14" s="137" t="s">
        <v>6843</v>
      </c>
      <c r="IUD14" s="137" t="s">
        <v>6844</v>
      </c>
      <c r="IUE14" s="137" t="s">
        <v>6845</v>
      </c>
      <c r="IUF14" s="137" t="s">
        <v>6846</v>
      </c>
      <c r="IUG14" s="137" t="s">
        <v>6847</v>
      </c>
      <c r="IUH14" s="137" t="s">
        <v>6848</v>
      </c>
      <c r="IUI14" s="137" t="s">
        <v>6849</v>
      </c>
      <c r="IUJ14" s="137" t="s">
        <v>6850</v>
      </c>
      <c r="IUK14" s="137" t="s">
        <v>6851</v>
      </c>
      <c r="IUL14" s="137" t="s">
        <v>6852</v>
      </c>
      <c r="IUM14" s="137" t="s">
        <v>6853</v>
      </c>
      <c r="IUN14" s="137" t="s">
        <v>6854</v>
      </c>
      <c r="IUO14" s="137" t="s">
        <v>6855</v>
      </c>
      <c r="IUP14" s="137" t="s">
        <v>6856</v>
      </c>
      <c r="IUQ14" s="137" t="s">
        <v>6857</v>
      </c>
      <c r="IUR14" s="137" t="s">
        <v>6858</v>
      </c>
      <c r="IUS14" s="137" t="s">
        <v>6859</v>
      </c>
      <c r="IUT14" s="137" t="s">
        <v>6860</v>
      </c>
      <c r="IUU14" s="137" t="s">
        <v>6861</v>
      </c>
      <c r="IUV14" s="137" t="s">
        <v>6862</v>
      </c>
      <c r="IUW14" s="137" t="s">
        <v>6863</v>
      </c>
      <c r="IUX14" s="137" t="s">
        <v>6864</v>
      </c>
      <c r="IUY14" s="137" t="s">
        <v>6865</v>
      </c>
      <c r="IUZ14" s="137" t="s">
        <v>6866</v>
      </c>
      <c r="IVA14" s="137" t="s">
        <v>6867</v>
      </c>
      <c r="IVB14" s="137" t="s">
        <v>6868</v>
      </c>
      <c r="IVC14" s="137" t="s">
        <v>6869</v>
      </c>
      <c r="IVD14" s="137" t="s">
        <v>6870</v>
      </c>
      <c r="IVE14" s="137" t="s">
        <v>6871</v>
      </c>
      <c r="IVF14" s="137" t="s">
        <v>6872</v>
      </c>
      <c r="IVG14" s="137" t="s">
        <v>6873</v>
      </c>
      <c r="IVH14" s="137" t="s">
        <v>6874</v>
      </c>
      <c r="IVI14" s="137" t="s">
        <v>6875</v>
      </c>
      <c r="IVJ14" s="137" t="s">
        <v>6876</v>
      </c>
      <c r="IVK14" s="137" t="s">
        <v>6877</v>
      </c>
      <c r="IVL14" s="137" t="s">
        <v>6878</v>
      </c>
      <c r="IVM14" s="137" t="s">
        <v>6879</v>
      </c>
      <c r="IVN14" s="137" t="s">
        <v>6880</v>
      </c>
      <c r="IVO14" s="137" t="s">
        <v>6881</v>
      </c>
      <c r="IVP14" s="137" t="s">
        <v>6882</v>
      </c>
      <c r="IVQ14" s="137" t="s">
        <v>6883</v>
      </c>
      <c r="IVR14" s="137" t="s">
        <v>6884</v>
      </c>
      <c r="IVS14" s="137" t="s">
        <v>6885</v>
      </c>
      <c r="IVT14" s="137" t="s">
        <v>6886</v>
      </c>
      <c r="IVU14" s="137" t="s">
        <v>6887</v>
      </c>
      <c r="IVV14" s="137" t="s">
        <v>6888</v>
      </c>
      <c r="IVW14" s="137" t="s">
        <v>6889</v>
      </c>
      <c r="IVX14" s="137" t="s">
        <v>6890</v>
      </c>
      <c r="IVY14" s="137" t="s">
        <v>6891</v>
      </c>
      <c r="IVZ14" s="137" t="s">
        <v>6892</v>
      </c>
      <c r="IWA14" s="137" t="s">
        <v>6893</v>
      </c>
      <c r="IWB14" s="137" t="s">
        <v>6894</v>
      </c>
      <c r="IWC14" s="137" t="s">
        <v>6895</v>
      </c>
      <c r="IWD14" s="137" t="s">
        <v>6896</v>
      </c>
      <c r="IWE14" s="137" t="s">
        <v>6897</v>
      </c>
      <c r="IWF14" s="137" t="s">
        <v>6898</v>
      </c>
      <c r="IWG14" s="137" t="s">
        <v>6899</v>
      </c>
      <c r="IWH14" s="137" t="s">
        <v>6900</v>
      </c>
      <c r="IWI14" s="137" t="s">
        <v>6901</v>
      </c>
      <c r="IWJ14" s="137" t="s">
        <v>6902</v>
      </c>
      <c r="IWK14" s="137" t="s">
        <v>6903</v>
      </c>
      <c r="IWL14" s="137" t="s">
        <v>6904</v>
      </c>
      <c r="IWM14" s="137" t="s">
        <v>6905</v>
      </c>
      <c r="IWN14" s="137" t="s">
        <v>6906</v>
      </c>
      <c r="IWO14" s="137" t="s">
        <v>6907</v>
      </c>
      <c r="IWP14" s="137" t="s">
        <v>6908</v>
      </c>
      <c r="IWQ14" s="137" t="s">
        <v>6909</v>
      </c>
      <c r="IWR14" s="137" t="s">
        <v>6910</v>
      </c>
      <c r="IWS14" s="137" t="s">
        <v>6911</v>
      </c>
      <c r="IWT14" s="137" t="s">
        <v>6912</v>
      </c>
      <c r="IWU14" s="137" t="s">
        <v>6913</v>
      </c>
      <c r="IWV14" s="137" t="s">
        <v>6914</v>
      </c>
      <c r="IWW14" s="137" t="s">
        <v>6915</v>
      </c>
      <c r="IWX14" s="137" t="s">
        <v>6916</v>
      </c>
      <c r="IWY14" s="137" t="s">
        <v>6917</v>
      </c>
      <c r="IWZ14" s="137" t="s">
        <v>6918</v>
      </c>
      <c r="IXA14" s="137" t="s">
        <v>6919</v>
      </c>
      <c r="IXB14" s="137" t="s">
        <v>6920</v>
      </c>
      <c r="IXC14" s="137" t="s">
        <v>6921</v>
      </c>
      <c r="IXD14" s="137" t="s">
        <v>6922</v>
      </c>
      <c r="IXE14" s="137" t="s">
        <v>6923</v>
      </c>
      <c r="IXF14" s="137" t="s">
        <v>6924</v>
      </c>
      <c r="IXG14" s="137" t="s">
        <v>6925</v>
      </c>
      <c r="IXH14" s="137" t="s">
        <v>6926</v>
      </c>
      <c r="IXI14" s="137" t="s">
        <v>6927</v>
      </c>
      <c r="IXJ14" s="137" t="s">
        <v>6928</v>
      </c>
      <c r="IXK14" s="137" t="s">
        <v>6929</v>
      </c>
      <c r="IXL14" s="137" t="s">
        <v>6930</v>
      </c>
      <c r="IXM14" s="137" t="s">
        <v>6931</v>
      </c>
      <c r="IXN14" s="137" t="s">
        <v>6932</v>
      </c>
      <c r="IXO14" s="137" t="s">
        <v>6933</v>
      </c>
      <c r="IXP14" s="137" t="s">
        <v>6934</v>
      </c>
      <c r="IXQ14" s="137" t="s">
        <v>6935</v>
      </c>
      <c r="IXR14" s="137" t="s">
        <v>6936</v>
      </c>
      <c r="IXS14" s="137" t="s">
        <v>6937</v>
      </c>
      <c r="IXT14" s="137" t="s">
        <v>6938</v>
      </c>
      <c r="IXU14" s="137" t="s">
        <v>6939</v>
      </c>
      <c r="IXV14" s="137" t="s">
        <v>6940</v>
      </c>
      <c r="IXW14" s="137" t="s">
        <v>6941</v>
      </c>
      <c r="IXX14" s="137" t="s">
        <v>6942</v>
      </c>
      <c r="IXY14" s="137" t="s">
        <v>6943</v>
      </c>
      <c r="IXZ14" s="137" t="s">
        <v>6944</v>
      </c>
      <c r="IYA14" s="137" t="s">
        <v>6945</v>
      </c>
      <c r="IYB14" s="137" t="s">
        <v>6946</v>
      </c>
      <c r="IYC14" s="137" t="s">
        <v>6947</v>
      </c>
      <c r="IYD14" s="137" t="s">
        <v>6948</v>
      </c>
      <c r="IYE14" s="137" t="s">
        <v>6949</v>
      </c>
      <c r="IYF14" s="137" t="s">
        <v>6950</v>
      </c>
      <c r="IYG14" s="137" t="s">
        <v>6951</v>
      </c>
      <c r="IYH14" s="137" t="s">
        <v>6952</v>
      </c>
      <c r="IYI14" s="137" t="s">
        <v>6953</v>
      </c>
      <c r="IYJ14" s="137" t="s">
        <v>6954</v>
      </c>
      <c r="IYK14" s="137" t="s">
        <v>6955</v>
      </c>
      <c r="IYL14" s="137" t="s">
        <v>6956</v>
      </c>
      <c r="IYM14" s="137" t="s">
        <v>6957</v>
      </c>
      <c r="IYN14" s="137" t="s">
        <v>6958</v>
      </c>
      <c r="IYO14" s="137" t="s">
        <v>6959</v>
      </c>
      <c r="IYP14" s="137" t="s">
        <v>6960</v>
      </c>
      <c r="IYQ14" s="137" t="s">
        <v>6961</v>
      </c>
      <c r="IYR14" s="137" t="s">
        <v>6962</v>
      </c>
      <c r="IYS14" s="137" t="s">
        <v>6963</v>
      </c>
      <c r="IYT14" s="137" t="s">
        <v>6964</v>
      </c>
      <c r="IYU14" s="137" t="s">
        <v>6965</v>
      </c>
      <c r="IYV14" s="137" t="s">
        <v>6966</v>
      </c>
      <c r="IYW14" s="137" t="s">
        <v>6967</v>
      </c>
      <c r="IYX14" s="137" t="s">
        <v>6968</v>
      </c>
      <c r="IYY14" s="137" t="s">
        <v>6969</v>
      </c>
      <c r="IYZ14" s="137" t="s">
        <v>6970</v>
      </c>
      <c r="IZA14" s="137" t="s">
        <v>6971</v>
      </c>
      <c r="IZB14" s="137" t="s">
        <v>6972</v>
      </c>
      <c r="IZC14" s="137" t="s">
        <v>6973</v>
      </c>
      <c r="IZD14" s="137" t="s">
        <v>6974</v>
      </c>
      <c r="IZE14" s="137" t="s">
        <v>6975</v>
      </c>
      <c r="IZF14" s="137" t="s">
        <v>6976</v>
      </c>
      <c r="IZG14" s="137" t="s">
        <v>6977</v>
      </c>
      <c r="IZH14" s="137" t="s">
        <v>6978</v>
      </c>
      <c r="IZI14" s="137" t="s">
        <v>6979</v>
      </c>
      <c r="IZJ14" s="137" t="s">
        <v>6980</v>
      </c>
      <c r="IZK14" s="137" t="s">
        <v>6981</v>
      </c>
      <c r="IZL14" s="137" t="s">
        <v>6982</v>
      </c>
      <c r="IZM14" s="137" t="s">
        <v>6983</v>
      </c>
      <c r="IZN14" s="137" t="s">
        <v>6984</v>
      </c>
      <c r="IZO14" s="137" t="s">
        <v>6985</v>
      </c>
      <c r="IZP14" s="137" t="s">
        <v>6986</v>
      </c>
      <c r="IZQ14" s="137" t="s">
        <v>6987</v>
      </c>
      <c r="IZR14" s="137" t="s">
        <v>6988</v>
      </c>
      <c r="IZS14" s="137" t="s">
        <v>6989</v>
      </c>
      <c r="IZT14" s="137" t="s">
        <v>6990</v>
      </c>
      <c r="IZU14" s="137" t="s">
        <v>6991</v>
      </c>
      <c r="IZV14" s="137" t="s">
        <v>6992</v>
      </c>
      <c r="IZW14" s="137" t="s">
        <v>6993</v>
      </c>
      <c r="IZX14" s="137" t="s">
        <v>6994</v>
      </c>
      <c r="IZY14" s="137" t="s">
        <v>6995</v>
      </c>
      <c r="IZZ14" s="137" t="s">
        <v>6996</v>
      </c>
      <c r="JAA14" s="137" t="s">
        <v>6997</v>
      </c>
      <c r="JAB14" s="137" t="s">
        <v>6998</v>
      </c>
      <c r="JAC14" s="137" t="s">
        <v>6999</v>
      </c>
      <c r="JAD14" s="137" t="s">
        <v>7000</v>
      </c>
      <c r="JAE14" s="137" t="s">
        <v>7001</v>
      </c>
      <c r="JAF14" s="137" t="s">
        <v>7002</v>
      </c>
      <c r="JAG14" s="137" t="s">
        <v>7003</v>
      </c>
      <c r="JAH14" s="137" t="s">
        <v>7004</v>
      </c>
      <c r="JAI14" s="137" t="s">
        <v>7005</v>
      </c>
      <c r="JAJ14" s="137" t="s">
        <v>7006</v>
      </c>
      <c r="JAK14" s="137" t="s">
        <v>7007</v>
      </c>
      <c r="JAL14" s="137" t="s">
        <v>7008</v>
      </c>
      <c r="JAM14" s="137" t="s">
        <v>7009</v>
      </c>
      <c r="JAN14" s="137" t="s">
        <v>7010</v>
      </c>
      <c r="JAO14" s="137" t="s">
        <v>7011</v>
      </c>
      <c r="JAP14" s="137" t="s">
        <v>7012</v>
      </c>
      <c r="JAQ14" s="137" t="s">
        <v>7013</v>
      </c>
      <c r="JAR14" s="137" t="s">
        <v>7014</v>
      </c>
      <c r="JAS14" s="137" t="s">
        <v>7015</v>
      </c>
      <c r="JAT14" s="137" t="s">
        <v>7016</v>
      </c>
      <c r="JAU14" s="137" t="s">
        <v>7017</v>
      </c>
      <c r="JAV14" s="137" t="s">
        <v>7018</v>
      </c>
      <c r="JAW14" s="137" t="s">
        <v>7019</v>
      </c>
      <c r="JAX14" s="137" t="s">
        <v>7020</v>
      </c>
      <c r="JAY14" s="137" t="s">
        <v>7021</v>
      </c>
      <c r="JAZ14" s="137" t="s">
        <v>7022</v>
      </c>
      <c r="JBA14" s="137" t="s">
        <v>7023</v>
      </c>
      <c r="JBB14" s="137" t="s">
        <v>7024</v>
      </c>
      <c r="JBC14" s="137" t="s">
        <v>7025</v>
      </c>
      <c r="JBD14" s="137" t="s">
        <v>7026</v>
      </c>
      <c r="JBE14" s="137" t="s">
        <v>7027</v>
      </c>
      <c r="JBF14" s="137" t="s">
        <v>7028</v>
      </c>
      <c r="JBG14" s="137" t="s">
        <v>7029</v>
      </c>
      <c r="JBH14" s="137" t="s">
        <v>7030</v>
      </c>
      <c r="JBI14" s="137" t="s">
        <v>7031</v>
      </c>
      <c r="JBJ14" s="137" t="s">
        <v>7032</v>
      </c>
      <c r="JBK14" s="137" t="s">
        <v>7033</v>
      </c>
      <c r="JBL14" s="137" t="s">
        <v>7034</v>
      </c>
      <c r="JBM14" s="137" t="s">
        <v>7035</v>
      </c>
      <c r="JBN14" s="137" t="s">
        <v>7036</v>
      </c>
      <c r="JBO14" s="137" t="s">
        <v>7037</v>
      </c>
      <c r="JBP14" s="137" t="s">
        <v>7038</v>
      </c>
      <c r="JBQ14" s="137" t="s">
        <v>7039</v>
      </c>
      <c r="JBR14" s="137" t="s">
        <v>7040</v>
      </c>
      <c r="JBS14" s="137" t="s">
        <v>7041</v>
      </c>
      <c r="JBT14" s="137" t="s">
        <v>7042</v>
      </c>
      <c r="JBU14" s="137" t="s">
        <v>7043</v>
      </c>
      <c r="JBV14" s="137" t="s">
        <v>7044</v>
      </c>
      <c r="JBW14" s="137" t="s">
        <v>7045</v>
      </c>
      <c r="JBX14" s="137" t="s">
        <v>7046</v>
      </c>
      <c r="JBY14" s="137" t="s">
        <v>7047</v>
      </c>
      <c r="JBZ14" s="137" t="s">
        <v>7048</v>
      </c>
      <c r="JCA14" s="137" t="s">
        <v>7049</v>
      </c>
      <c r="JCB14" s="137" t="s">
        <v>7050</v>
      </c>
      <c r="JCC14" s="137" t="s">
        <v>7051</v>
      </c>
      <c r="JCD14" s="137" t="s">
        <v>7052</v>
      </c>
      <c r="JCE14" s="137" t="s">
        <v>7053</v>
      </c>
      <c r="JCF14" s="137" t="s">
        <v>7054</v>
      </c>
      <c r="JCG14" s="137" t="s">
        <v>7055</v>
      </c>
      <c r="JCH14" s="137" t="s">
        <v>7056</v>
      </c>
      <c r="JCI14" s="137" t="s">
        <v>7057</v>
      </c>
      <c r="JCJ14" s="137" t="s">
        <v>7058</v>
      </c>
      <c r="JCK14" s="137" t="s">
        <v>7059</v>
      </c>
      <c r="JCL14" s="137" t="s">
        <v>7060</v>
      </c>
      <c r="JCM14" s="137" t="s">
        <v>7061</v>
      </c>
      <c r="JCN14" s="137" t="s">
        <v>7062</v>
      </c>
      <c r="JCO14" s="137" t="s">
        <v>7063</v>
      </c>
      <c r="JCP14" s="137" t="s">
        <v>7064</v>
      </c>
      <c r="JCQ14" s="137" t="s">
        <v>7065</v>
      </c>
      <c r="JCR14" s="137" t="s">
        <v>7066</v>
      </c>
      <c r="JCS14" s="137" t="s">
        <v>7067</v>
      </c>
      <c r="JCT14" s="137" t="s">
        <v>7068</v>
      </c>
      <c r="JCU14" s="137" t="s">
        <v>7069</v>
      </c>
      <c r="JCV14" s="137" t="s">
        <v>7070</v>
      </c>
      <c r="JCW14" s="137" t="s">
        <v>7071</v>
      </c>
      <c r="JCX14" s="137" t="s">
        <v>7072</v>
      </c>
      <c r="JCY14" s="137" t="s">
        <v>7073</v>
      </c>
      <c r="JCZ14" s="137" t="s">
        <v>7074</v>
      </c>
      <c r="JDA14" s="137" t="s">
        <v>7075</v>
      </c>
      <c r="JDB14" s="137" t="s">
        <v>7076</v>
      </c>
      <c r="JDC14" s="137" t="s">
        <v>7077</v>
      </c>
      <c r="JDD14" s="137" t="s">
        <v>7078</v>
      </c>
      <c r="JDE14" s="137" t="s">
        <v>7079</v>
      </c>
      <c r="JDF14" s="137" t="s">
        <v>7080</v>
      </c>
      <c r="JDG14" s="137" t="s">
        <v>7081</v>
      </c>
      <c r="JDH14" s="137" t="s">
        <v>7082</v>
      </c>
      <c r="JDI14" s="137" t="s">
        <v>7083</v>
      </c>
      <c r="JDJ14" s="137" t="s">
        <v>7084</v>
      </c>
      <c r="JDK14" s="137" t="s">
        <v>7085</v>
      </c>
      <c r="JDL14" s="137" t="s">
        <v>7086</v>
      </c>
      <c r="JDM14" s="137" t="s">
        <v>7087</v>
      </c>
      <c r="JDN14" s="137" t="s">
        <v>7088</v>
      </c>
      <c r="JDO14" s="137" t="s">
        <v>7089</v>
      </c>
      <c r="JDP14" s="137" t="s">
        <v>7090</v>
      </c>
      <c r="JDQ14" s="137" t="s">
        <v>7091</v>
      </c>
      <c r="JDR14" s="137" t="s">
        <v>7092</v>
      </c>
      <c r="JDS14" s="137" t="s">
        <v>7093</v>
      </c>
      <c r="JDT14" s="137" t="s">
        <v>7094</v>
      </c>
      <c r="JDU14" s="137" t="s">
        <v>7095</v>
      </c>
      <c r="JDV14" s="137" t="s">
        <v>7096</v>
      </c>
      <c r="JDW14" s="137" t="s">
        <v>7097</v>
      </c>
      <c r="JDX14" s="137" t="s">
        <v>7098</v>
      </c>
      <c r="JDY14" s="137" t="s">
        <v>7099</v>
      </c>
      <c r="JDZ14" s="137" t="s">
        <v>7100</v>
      </c>
      <c r="JEA14" s="137" t="s">
        <v>7101</v>
      </c>
      <c r="JEB14" s="137" t="s">
        <v>7102</v>
      </c>
      <c r="JEC14" s="137" t="s">
        <v>7103</v>
      </c>
      <c r="JED14" s="137" t="s">
        <v>7104</v>
      </c>
      <c r="JEE14" s="137" t="s">
        <v>7105</v>
      </c>
      <c r="JEF14" s="137" t="s">
        <v>7106</v>
      </c>
      <c r="JEG14" s="137" t="s">
        <v>7107</v>
      </c>
      <c r="JEH14" s="137" t="s">
        <v>7108</v>
      </c>
      <c r="JEI14" s="137" t="s">
        <v>7109</v>
      </c>
      <c r="JEJ14" s="137" t="s">
        <v>7110</v>
      </c>
      <c r="JEK14" s="137" t="s">
        <v>7111</v>
      </c>
      <c r="JEL14" s="137" t="s">
        <v>7112</v>
      </c>
      <c r="JEM14" s="137" t="s">
        <v>7113</v>
      </c>
      <c r="JEN14" s="137" t="s">
        <v>7114</v>
      </c>
      <c r="JEO14" s="137" t="s">
        <v>7115</v>
      </c>
      <c r="JEP14" s="137" t="s">
        <v>7116</v>
      </c>
      <c r="JEQ14" s="137" t="s">
        <v>7117</v>
      </c>
      <c r="JER14" s="137" t="s">
        <v>7118</v>
      </c>
      <c r="JES14" s="137" t="s">
        <v>7119</v>
      </c>
      <c r="JET14" s="137" t="s">
        <v>7120</v>
      </c>
      <c r="JEU14" s="137" t="s">
        <v>7121</v>
      </c>
      <c r="JEV14" s="137" t="s">
        <v>7122</v>
      </c>
      <c r="JEW14" s="137" t="s">
        <v>7123</v>
      </c>
      <c r="JEX14" s="137" t="s">
        <v>7124</v>
      </c>
      <c r="JEY14" s="137" t="s">
        <v>7125</v>
      </c>
      <c r="JEZ14" s="137" t="s">
        <v>7126</v>
      </c>
      <c r="JFA14" s="137" t="s">
        <v>7127</v>
      </c>
      <c r="JFB14" s="137" t="s">
        <v>7128</v>
      </c>
      <c r="JFC14" s="137" t="s">
        <v>7129</v>
      </c>
      <c r="JFD14" s="137" t="s">
        <v>7130</v>
      </c>
      <c r="JFE14" s="137" t="s">
        <v>7131</v>
      </c>
      <c r="JFF14" s="137" t="s">
        <v>7132</v>
      </c>
      <c r="JFG14" s="137" t="s">
        <v>7133</v>
      </c>
      <c r="JFH14" s="137" t="s">
        <v>7134</v>
      </c>
      <c r="JFI14" s="137" t="s">
        <v>7135</v>
      </c>
      <c r="JFJ14" s="137" t="s">
        <v>7136</v>
      </c>
      <c r="JFK14" s="137" t="s">
        <v>7137</v>
      </c>
      <c r="JFL14" s="137" t="s">
        <v>7138</v>
      </c>
      <c r="JFM14" s="137" t="s">
        <v>7139</v>
      </c>
      <c r="JFN14" s="137" t="s">
        <v>7140</v>
      </c>
      <c r="JFO14" s="137" t="s">
        <v>7141</v>
      </c>
      <c r="JFP14" s="137" t="s">
        <v>7142</v>
      </c>
      <c r="JFQ14" s="137" t="s">
        <v>7143</v>
      </c>
      <c r="JFR14" s="137" t="s">
        <v>7144</v>
      </c>
      <c r="JFS14" s="137" t="s">
        <v>7145</v>
      </c>
      <c r="JFT14" s="137" t="s">
        <v>7146</v>
      </c>
      <c r="JFU14" s="137" t="s">
        <v>7147</v>
      </c>
      <c r="JFV14" s="137" t="s">
        <v>7148</v>
      </c>
      <c r="JFW14" s="137" t="s">
        <v>7149</v>
      </c>
      <c r="JFX14" s="137" t="s">
        <v>7150</v>
      </c>
      <c r="JFY14" s="137" t="s">
        <v>7151</v>
      </c>
      <c r="JFZ14" s="137" t="s">
        <v>7152</v>
      </c>
      <c r="JGA14" s="137" t="s">
        <v>7153</v>
      </c>
      <c r="JGB14" s="137" t="s">
        <v>7154</v>
      </c>
      <c r="JGC14" s="137" t="s">
        <v>7155</v>
      </c>
      <c r="JGD14" s="137" t="s">
        <v>7156</v>
      </c>
      <c r="JGE14" s="137" t="s">
        <v>7157</v>
      </c>
      <c r="JGF14" s="137" t="s">
        <v>7158</v>
      </c>
      <c r="JGG14" s="137" t="s">
        <v>7159</v>
      </c>
      <c r="JGH14" s="137" t="s">
        <v>7160</v>
      </c>
      <c r="JGI14" s="137" t="s">
        <v>7161</v>
      </c>
      <c r="JGJ14" s="137" t="s">
        <v>7162</v>
      </c>
      <c r="JGK14" s="137" t="s">
        <v>7163</v>
      </c>
      <c r="JGL14" s="137" t="s">
        <v>7164</v>
      </c>
      <c r="JGM14" s="137" t="s">
        <v>7165</v>
      </c>
      <c r="JGN14" s="137" t="s">
        <v>7166</v>
      </c>
      <c r="JGO14" s="137" t="s">
        <v>7167</v>
      </c>
      <c r="JGP14" s="137" t="s">
        <v>7168</v>
      </c>
      <c r="JGQ14" s="137" t="s">
        <v>7169</v>
      </c>
      <c r="JGR14" s="137" t="s">
        <v>7170</v>
      </c>
      <c r="JGS14" s="137" t="s">
        <v>7171</v>
      </c>
      <c r="JGT14" s="137" t="s">
        <v>7172</v>
      </c>
      <c r="JGU14" s="137" t="s">
        <v>7173</v>
      </c>
      <c r="JGV14" s="137" t="s">
        <v>7174</v>
      </c>
      <c r="JGW14" s="137" t="s">
        <v>7175</v>
      </c>
      <c r="JGX14" s="137" t="s">
        <v>7176</v>
      </c>
      <c r="JGY14" s="137" t="s">
        <v>7177</v>
      </c>
      <c r="JGZ14" s="137" t="s">
        <v>7178</v>
      </c>
      <c r="JHA14" s="137" t="s">
        <v>7179</v>
      </c>
      <c r="JHB14" s="137" t="s">
        <v>7180</v>
      </c>
      <c r="JHC14" s="137" t="s">
        <v>7181</v>
      </c>
      <c r="JHD14" s="137" t="s">
        <v>7182</v>
      </c>
      <c r="JHE14" s="137" t="s">
        <v>7183</v>
      </c>
      <c r="JHF14" s="137" t="s">
        <v>7184</v>
      </c>
      <c r="JHG14" s="137" t="s">
        <v>7185</v>
      </c>
      <c r="JHH14" s="137" t="s">
        <v>7186</v>
      </c>
      <c r="JHI14" s="137" t="s">
        <v>7187</v>
      </c>
      <c r="JHJ14" s="137" t="s">
        <v>7188</v>
      </c>
      <c r="JHK14" s="137" t="s">
        <v>7189</v>
      </c>
      <c r="JHL14" s="137" t="s">
        <v>7190</v>
      </c>
      <c r="JHM14" s="137" t="s">
        <v>7191</v>
      </c>
      <c r="JHN14" s="137" t="s">
        <v>7192</v>
      </c>
      <c r="JHO14" s="137" t="s">
        <v>7193</v>
      </c>
      <c r="JHP14" s="137" t="s">
        <v>7194</v>
      </c>
      <c r="JHQ14" s="137" t="s">
        <v>7195</v>
      </c>
      <c r="JHR14" s="137" t="s">
        <v>7196</v>
      </c>
      <c r="JHS14" s="137" t="s">
        <v>7197</v>
      </c>
      <c r="JHT14" s="137" t="s">
        <v>7198</v>
      </c>
      <c r="JHU14" s="137" t="s">
        <v>7199</v>
      </c>
      <c r="JHV14" s="137" t="s">
        <v>7200</v>
      </c>
      <c r="JHW14" s="137" t="s">
        <v>7201</v>
      </c>
      <c r="JHX14" s="137" t="s">
        <v>7202</v>
      </c>
      <c r="JHY14" s="137" t="s">
        <v>7203</v>
      </c>
      <c r="JHZ14" s="137" t="s">
        <v>7204</v>
      </c>
      <c r="JIA14" s="137" t="s">
        <v>7205</v>
      </c>
      <c r="JIB14" s="137" t="s">
        <v>7206</v>
      </c>
      <c r="JIC14" s="137" t="s">
        <v>7207</v>
      </c>
      <c r="JID14" s="137" t="s">
        <v>7208</v>
      </c>
      <c r="JIE14" s="137" t="s">
        <v>7209</v>
      </c>
      <c r="JIF14" s="137" t="s">
        <v>7210</v>
      </c>
      <c r="JIG14" s="137" t="s">
        <v>7211</v>
      </c>
      <c r="JIH14" s="137" t="s">
        <v>7212</v>
      </c>
      <c r="JII14" s="137" t="s">
        <v>7213</v>
      </c>
      <c r="JIJ14" s="137" t="s">
        <v>7214</v>
      </c>
      <c r="JIK14" s="137" t="s">
        <v>7215</v>
      </c>
      <c r="JIL14" s="137" t="s">
        <v>7216</v>
      </c>
      <c r="JIM14" s="137" t="s">
        <v>7217</v>
      </c>
      <c r="JIN14" s="137" t="s">
        <v>7218</v>
      </c>
      <c r="JIO14" s="137" t="s">
        <v>7219</v>
      </c>
      <c r="JIP14" s="137" t="s">
        <v>7220</v>
      </c>
      <c r="JIQ14" s="137" t="s">
        <v>7221</v>
      </c>
      <c r="JIR14" s="137" t="s">
        <v>7222</v>
      </c>
      <c r="JIS14" s="137" t="s">
        <v>7223</v>
      </c>
      <c r="JIT14" s="137" t="s">
        <v>7224</v>
      </c>
      <c r="JIU14" s="137" t="s">
        <v>7225</v>
      </c>
      <c r="JIV14" s="137" t="s">
        <v>7226</v>
      </c>
      <c r="JIW14" s="137" t="s">
        <v>7227</v>
      </c>
      <c r="JIX14" s="137" t="s">
        <v>7228</v>
      </c>
      <c r="JIY14" s="137" t="s">
        <v>7229</v>
      </c>
      <c r="JIZ14" s="137" t="s">
        <v>7230</v>
      </c>
      <c r="JJA14" s="137" t="s">
        <v>7231</v>
      </c>
      <c r="JJB14" s="137" t="s">
        <v>7232</v>
      </c>
      <c r="JJC14" s="137" t="s">
        <v>7233</v>
      </c>
      <c r="JJD14" s="137" t="s">
        <v>7234</v>
      </c>
      <c r="JJE14" s="137" t="s">
        <v>7235</v>
      </c>
      <c r="JJF14" s="137" t="s">
        <v>7236</v>
      </c>
      <c r="JJG14" s="137" t="s">
        <v>7237</v>
      </c>
      <c r="JJH14" s="137" t="s">
        <v>7238</v>
      </c>
      <c r="JJI14" s="137" t="s">
        <v>7239</v>
      </c>
      <c r="JJJ14" s="137" t="s">
        <v>7240</v>
      </c>
      <c r="JJK14" s="137" t="s">
        <v>7241</v>
      </c>
      <c r="JJL14" s="137" t="s">
        <v>7242</v>
      </c>
      <c r="JJM14" s="137" t="s">
        <v>7243</v>
      </c>
      <c r="JJN14" s="137" t="s">
        <v>7244</v>
      </c>
      <c r="JJO14" s="137" t="s">
        <v>7245</v>
      </c>
      <c r="JJP14" s="137" t="s">
        <v>7246</v>
      </c>
      <c r="JJQ14" s="137" t="s">
        <v>7247</v>
      </c>
      <c r="JJR14" s="137" t="s">
        <v>7248</v>
      </c>
      <c r="JJS14" s="137" t="s">
        <v>7249</v>
      </c>
      <c r="JJT14" s="137" t="s">
        <v>7250</v>
      </c>
      <c r="JJU14" s="137" t="s">
        <v>7251</v>
      </c>
      <c r="JJV14" s="137" t="s">
        <v>7252</v>
      </c>
      <c r="JJW14" s="137" t="s">
        <v>7253</v>
      </c>
      <c r="JJX14" s="137" t="s">
        <v>7254</v>
      </c>
      <c r="JJY14" s="137" t="s">
        <v>7255</v>
      </c>
      <c r="JJZ14" s="137" t="s">
        <v>7256</v>
      </c>
      <c r="JKA14" s="137" t="s">
        <v>7257</v>
      </c>
      <c r="JKB14" s="137" t="s">
        <v>7258</v>
      </c>
      <c r="JKC14" s="137" t="s">
        <v>7259</v>
      </c>
      <c r="JKD14" s="137" t="s">
        <v>7260</v>
      </c>
      <c r="JKE14" s="137" t="s">
        <v>7261</v>
      </c>
      <c r="JKF14" s="137" t="s">
        <v>7262</v>
      </c>
      <c r="JKG14" s="137" t="s">
        <v>7263</v>
      </c>
      <c r="JKH14" s="137" t="s">
        <v>7264</v>
      </c>
      <c r="JKI14" s="137" t="s">
        <v>7265</v>
      </c>
      <c r="JKJ14" s="137" t="s">
        <v>7266</v>
      </c>
      <c r="JKK14" s="137" t="s">
        <v>7267</v>
      </c>
      <c r="JKL14" s="137" t="s">
        <v>7268</v>
      </c>
      <c r="JKM14" s="137" t="s">
        <v>7269</v>
      </c>
      <c r="JKN14" s="137" t="s">
        <v>7270</v>
      </c>
      <c r="JKO14" s="137" t="s">
        <v>7271</v>
      </c>
      <c r="JKP14" s="137" t="s">
        <v>7272</v>
      </c>
      <c r="JKQ14" s="137" t="s">
        <v>7273</v>
      </c>
      <c r="JKR14" s="137" t="s">
        <v>7274</v>
      </c>
      <c r="JKS14" s="137" t="s">
        <v>7275</v>
      </c>
      <c r="JKT14" s="137" t="s">
        <v>7276</v>
      </c>
      <c r="JKU14" s="137" t="s">
        <v>7277</v>
      </c>
      <c r="JKV14" s="137" t="s">
        <v>7278</v>
      </c>
      <c r="JKW14" s="137" t="s">
        <v>7279</v>
      </c>
      <c r="JKX14" s="137" t="s">
        <v>7280</v>
      </c>
      <c r="JKY14" s="137" t="s">
        <v>7281</v>
      </c>
      <c r="JKZ14" s="137" t="s">
        <v>7282</v>
      </c>
      <c r="JLA14" s="137" t="s">
        <v>7283</v>
      </c>
      <c r="JLB14" s="137" t="s">
        <v>7284</v>
      </c>
      <c r="JLC14" s="137" t="s">
        <v>7285</v>
      </c>
      <c r="JLD14" s="137" t="s">
        <v>7286</v>
      </c>
      <c r="JLE14" s="137" t="s">
        <v>7287</v>
      </c>
      <c r="JLF14" s="137" t="s">
        <v>7288</v>
      </c>
      <c r="JLG14" s="137" t="s">
        <v>7289</v>
      </c>
      <c r="JLH14" s="137" t="s">
        <v>7290</v>
      </c>
      <c r="JLI14" s="137" t="s">
        <v>7291</v>
      </c>
      <c r="JLJ14" s="137" t="s">
        <v>7292</v>
      </c>
      <c r="JLK14" s="137" t="s">
        <v>7293</v>
      </c>
      <c r="JLL14" s="137" t="s">
        <v>7294</v>
      </c>
      <c r="JLM14" s="137" t="s">
        <v>7295</v>
      </c>
      <c r="JLN14" s="137" t="s">
        <v>7296</v>
      </c>
      <c r="JLO14" s="137" t="s">
        <v>7297</v>
      </c>
      <c r="JLP14" s="137" t="s">
        <v>7298</v>
      </c>
      <c r="JLQ14" s="137" t="s">
        <v>7299</v>
      </c>
      <c r="JLR14" s="137" t="s">
        <v>7300</v>
      </c>
      <c r="JLS14" s="137" t="s">
        <v>7301</v>
      </c>
      <c r="JLT14" s="137" t="s">
        <v>7302</v>
      </c>
      <c r="JLU14" s="137" t="s">
        <v>7303</v>
      </c>
      <c r="JLV14" s="137" t="s">
        <v>7304</v>
      </c>
      <c r="JLW14" s="137" t="s">
        <v>7305</v>
      </c>
      <c r="JLX14" s="137" t="s">
        <v>7306</v>
      </c>
      <c r="JLY14" s="137" t="s">
        <v>7307</v>
      </c>
      <c r="JLZ14" s="137" t="s">
        <v>7308</v>
      </c>
      <c r="JMA14" s="137" t="s">
        <v>7309</v>
      </c>
      <c r="JMB14" s="137" t="s">
        <v>7310</v>
      </c>
      <c r="JMC14" s="137" t="s">
        <v>7311</v>
      </c>
      <c r="JMD14" s="137" t="s">
        <v>7312</v>
      </c>
      <c r="JME14" s="137" t="s">
        <v>7313</v>
      </c>
      <c r="JMF14" s="137" t="s">
        <v>7314</v>
      </c>
      <c r="JMG14" s="137" t="s">
        <v>7315</v>
      </c>
      <c r="JMH14" s="137" t="s">
        <v>7316</v>
      </c>
      <c r="JMI14" s="137" t="s">
        <v>7317</v>
      </c>
      <c r="JMJ14" s="137" t="s">
        <v>7318</v>
      </c>
      <c r="JMK14" s="137" t="s">
        <v>7319</v>
      </c>
      <c r="JML14" s="137" t="s">
        <v>7320</v>
      </c>
      <c r="JMM14" s="137" t="s">
        <v>7321</v>
      </c>
      <c r="JMN14" s="137" t="s">
        <v>7322</v>
      </c>
      <c r="JMO14" s="137" t="s">
        <v>7323</v>
      </c>
      <c r="JMP14" s="137" t="s">
        <v>7324</v>
      </c>
      <c r="JMQ14" s="137" t="s">
        <v>7325</v>
      </c>
      <c r="JMR14" s="137" t="s">
        <v>7326</v>
      </c>
      <c r="JMS14" s="137" t="s">
        <v>7327</v>
      </c>
      <c r="JMT14" s="137" t="s">
        <v>7328</v>
      </c>
      <c r="JMU14" s="137" t="s">
        <v>7329</v>
      </c>
      <c r="JMV14" s="137" t="s">
        <v>7330</v>
      </c>
      <c r="JMW14" s="137" t="s">
        <v>7331</v>
      </c>
      <c r="JMX14" s="137" t="s">
        <v>7332</v>
      </c>
      <c r="JMY14" s="137" t="s">
        <v>7333</v>
      </c>
      <c r="JMZ14" s="137" t="s">
        <v>7334</v>
      </c>
      <c r="JNA14" s="137" t="s">
        <v>7335</v>
      </c>
      <c r="JNB14" s="137" t="s">
        <v>7336</v>
      </c>
      <c r="JNC14" s="137" t="s">
        <v>7337</v>
      </c>
      <c r="JND14" s="137" t="s">
        <v>7338</v>
      </c>
      <c r="JNE14" s="137" t="s">
        <v>7339</v>
      </c>
      <c r="JNF14" s="137" t="s">
        <v>7340</v>
      </c>
      <c r="JNG14" s="137" t="s">
        <v>7341</v>
      </c>
      <c r="JNH14" s="137" t="s">
        <v>7342</v>
      </c>
      <c r="JNI14" s="137" t="s">
        <v>7343</v>
      </c>
      <c r="JNJ14" s="137" t="s">
        <v>7344</v>
      </c>
      <c r="JNK14" s="137" t="s">
        <v>7345</v>
      </c>
      <c r="JNL14" s="137" t="s">
        <v>7346</v>
      </c>
      <c r="JNM14" s="137" t="s">
        <v>7347</v>
      </c>
      <c r="JNN14" s="137" t="s">
        <v>7348</v>
      </c>
      <c r="JNO14" s="137" t="s">
        <v>7349</v>
      </c>
      <c r="JNP14" s="137" t="s">
        <v>7350</v>
      </c>
      <c r="JNQ14" s="137" t="s">
        <v>7351</v>
      </c>
      <c r="JNR14" s="137" t="s">
        <v>7352</v>
      </c>
      <c r="JNS14" s="137" t="s">
        <v>7353</v>
      </c>
      <c r="JNT14" s="137" t="s">
        <v>7354</v>
      </c>
      <c r="JNU14" s="137" t="s">
        <v>7355</v>
      </c>
      <c r="JNV14" s="137" t="s">
        <v>7356</v>
      </c>
      <c r="JNW14" s="137" t="s">
        <v>7357</v>
      </c>
      <c r="JNX14" s="137" t="s">
        <v>7358</v>
      </c>
      <c r="JNY14" s="137" t="s">
        <v>7359</v>
      </c>
      <c r="JNZ14" s="137" t="s">
        <v>7360</v>
      </c>
      <c r="JOA14" s="137" t="s">
        <v>7361</v>
      </c>
      <c r="JOB14" s="137" t="s">
        <v>7362</v>
      </c>
      <c r="JOC14" s="137" t="s">
        <v>7363</v>
      </c>
      <c r="JOD14" s="137" t="s">
        <v>7364</v>
      </c>
      <c r="JOE14" s="137" t="s">
        <v>7365</v>
      </c>
      <c r="JOF14" s="137" t="s">
        <v>7366</v>
      </c>
      <c r="JOG14" s="137" t="s">
        <v>7367</v>
      </c>
      <c r="JOH14" s="137" t="s">
        <v>7368</v>
      </c>
      <c r="JOI14" s="137" t="s">
        <v>7369</v>
      </c>
      <c r="JOJ14" s="137" t="s">
        <v>7370</v>
      </c>
      <c r="JOK14" s="137" t="s">
        <v>7371</v>
      </c>
      <c r="JOL14" s="137" t="s">
        <v>7372</v>
      </c>
      <c r="JOM14" s="137" t="s">
        <v>7373</v>
      </c>
      <c r="JON14" s="137" t="s">
        <v>7374</v>
      </c>
      <c r="JOO14" s="137" t="s">
        <v>7375</v>
      </c>
      <c r="JOP14" s="137" t="s">
        <v>7376</v>
      </c>
      <c r="JOQ14" s="137" t="s">
        <v>7377</v>
      </c>
      <c r="JOR14" s="137" t="s">
        <v>7378</v>
      </c>
      <c r="JOS14" s="137" t="s">
        <v>7379</v>
      </c>
      <c r="JOT14" s="137" t="s">
        <v>7380</v>
      </c>
      <c r="JOU14" s="137" t="s">
        <v>7381</v>
      </c>
      <c r="JOV14" s="137" t="s">
        <v>7382</v>
      </c>
      <c r="JOW14" s="137" t="s">
        <v>7383</v>
      </c>
      <c r="JOX14" s="137" t="s">
        <v>7384</v>
      </c>
      <c r="JOY14" s="137" t="s">
        <v>7385</v>
      </c>
      <c r="JOZ14" s="137" t="s">
        <v>7386</v>
      </c>
      <c r="JPA14" s="137" t="s">
        <v>7387</v>
      </c>
      <c r="JPB14" s="137" t="s">
        <v>7388</v>
      </c>
      <c r="JPC14" s="137" t="s">
        <v>7389</v>
      </c>
      <c r="JPD14" s="137" t="s">
        <v>7390</v>
      </c>
      <c r="JPE14" s="137" t="s">
        <v>7391</v>
      </c>
      <c r="JPF14" s="137" t="s">
        <v>7392</v>
      </c>
      <c r="JPG14" s="137" t="s">
        <v>7393</v>
      </c>
      <c r="JPH14" s="137" t="s">
        <v>7394</v>
      </c>
      <c r="JPI14" s="137" t="s">
        <v>7395</v>
      </c>
      <c r="JPJ14" s="137" t="s">
        <v>7396</v>
      </c>
      <c r="JPK14" s="137" t="s">
        <v>7397</v>
      </c>
      <c r="JPL14" s="137" t="s">
        <v>7398</v>
      </c>
      <c r="JPM14" s="137" t="s">
        <v>7399</v>
      </c>
      <c r="JPN14" s="137" t="s">
        <v>7400</v>
      </c>
      <c r="JPO14" s="137" t="s">
        <v>7401</v>
      </c>
      <c r="JPP14" s="137" t="s">
        <v>7402</v>
      </c>
      <c r="JPQ14" s="137" t="s">
        <v>7403</v>
      </c>
      <c r="JPR14" s="137" t="s">
        <v>7404</v>
      </c>
      <c r="JPS14" s="137" t="s">
        <v>7405</v>
      </c>
      <c r="JPT14" s="137" t="s">
        <v>7406</v>
      </c>
      <c r="JPU14" s="137" t="s">
        <v>7407</v>
      </c>
      <c r="JPV14" s="137" t="s">
        <v>7408</v>
      </c>
      <c r="JPW14" s="137" t="s">
        <v>7409</v>
      </c>
      <c r="JPX14" s="137" t="s">
        <v>7410</v>
      </c>
      <c r="JPY14" s="137" t="s">
        <v>7411</v>
      </c>
      <c r="JPZ14" s="137" t="s">
        <v>7412</v>
      </c>
      <c r="JQA14" s="137" t="s">
        <v>7413</v>
      </c>
      <c r="JQB14" s="137" t="s">
        <v>7414</v>
      </c>
      <c r="JQC14" s="137" t="s">
        <v>7415</v>
      </c>
      <c r="JQD14" s="137" t="s">
        <v>7416</v>
      </c>
      <c r="JQE14" s="137" t="s">
        <v>7417</v>
      </c>
      <c r="JQF14" s="137" t="s">
        <v>7418</v>
      </c>
      <c r="JQG14" s="137" t="s">
        <v>7419</v>
      </c>
      <c r="JQH14" s="137" t="s">
        <v>7420</v>
      </c>
      <c r="JQI14" s="137" t="s">
        <v>7421</v>
      </c>
      <c r="JQJ14" s="137" t="s">
        <v>7422</v>
      </c>
      <c r="JQK14" s="137" t="s">
        <v>7423</v>
      </c>
      <c r="JQL14" s="137" t="s">
        <v>7424</v>
      </c>
      <c r="JQM14" s="137" t="s">
        <v>7425</v>
      </c>
      <c r="JQN14" s="137" t="s">
        <v>7426</v>
      </c>
      <c r="JQO14" s="137" t="s">
        <v>7427</v>
      </c>
      <c r="JQP14" s="137" t="s">
        <v>7428</v>
      </c>
      <c r="JQQ14" s="137" t="s">
        <v>7429</v>
      </c>
      <c r="JQR14" s="137" t="s">
        <v>7430</v>
      </c>
      <c r="JQS14" s="137" t="s">
        <v>7431</v>
      </c>
      <c r="JQT14" s="137" t="s">
        <v>7432</v>
      </c>
      <c r="JQU14" s="137" t="s">
        <v>7433</v>
      </c>
      <c r="JQV14" s="137" t="s">
        <v>7434</v>
      </c>
      <c r="JQW14" s="137" t="s">
        <v>7435</v>
      </c>
      <c r="JQX14" s="137" t="s">
        <v>7436</v>
      </c>
      <c r="JQY14" s="137" t="s">
        <v>7437</v>
      </c>
      <c r="JQZ14" s="137" t="s">
        <v>7438</v>
      </c>
      <c r="JRA14" s="137" t="s">
        <v>7439</v>
      </c>
      <c r="JRB14" s="137" t="s">
        <v>7440</v>
      </c>
      <c r="JRC14" s="137" t="s">
        <v>7441</v>
      </c>
      <c r="JRD14" s="137" t="s">
        <v>7442</v>
      </c>
      <c r="JRE14" s="137" t="s">
        <v>7443</v>
      </c>
      <c r="JRF14" s="137" t="s">
        <v>7444</v>
      </c>
      <c r="JRG14" s="137" t="s">
        <v>7445</v>
      </c>
      <c r="JRH14" s="137" t="s">
        <v>7446</v>
      </c>
      <c r="JRI14" s="137" t="s">
        <v>7447</v>
      </c>
      <c r="JRJ14" s="137" t="s">
        <v>7448</v>
      </c>
      <c r="JRK14" s="137" t="s">
        <v>7449</v>
      </c>
      <c r="JRL14" s="137" t="s">
        <v>7450</v>
      </c>
      <c r="JRM14" s="137" t="s">
        <v>7451</v>
      </c>
      <c r="JRN14" s="137" t="s">
        <v>7452</v>
      </c>
      <c r="JRO14" s="137" t="s">
        <v>7453</v>
      </c>
      <c r="JRP14" s="137" t="s">
        <v>7454</v>
      </c>
      <c r="JRQ14" s="137" t="s">
        <v>7455</v>
      </c>
      <c r="JRR14" s="137" t="s">
        <v>7456</v>
      </c>
      <c r="JRS14" s="137" t="s">
        <v>7457</v>
      </c>
      <c r="JRT14" s="137" t="s">
        <v>7458</v>
      </c>
      <c r="JRU14" s="137" t="s">
        <v>7459</v>
      </c>
      <c r="JRV14" s="137" t="s">
        <v>7460</v>
      </c>
      <c r="JRW14" s="137" t="s">
        <v>7461</v>
      </c>
      <c r="JRX14" s="137" t="s">
        <v>7462</v>
      </c>
      <c r="JRY14" s="137" t="s">
        <v>7463</v>
      </c>
      <c r="JRZ14" s="137" t="s">
        <v>7464</v>
      </c>
      <c r="JSA14" s="137" t="s">
        <v>7465</v>
      </c>
      <c r="JSB14" s="137" t="s">
        <v>7466</v>
      </c>
      <c r="JSC14" s="137" t="s">
        <v>7467</v>
      </c>
      <c r="JSD14" s="137" t="s">
        <v>7468</v>
      </c>
      <c r="JSE14" s="137" t="s">
        <v>7469</v>
      </c>
      <c r="JSF14" s="137" t="s">
        <v>7470</v>
      </c>
      <c r="JSG14" s="137" t="s">
        <v>7471</v>
      </c>
      <c r="JSH14" s="137" t="s">
        <v>7472</v>
      </c>
      <c r="JSI14" s="137" t="s">
        <v>7473</v>
      </c>
      <c r="JSJ14" s="137" t="s">
        <v>7474</v>
      </c>
      <c r="JSK14" s="137" t="s">
        <v>7475</v>
      </c>
      <c r="JSL14" s="137" t="s">
        <v>7476</v>
      </c>
      <c r="JSM14" s="137" t="s">
        <v>7477</v>
      </c>
      <c r="JSN14" s="137" t="s">
        <v>7478</v>
      </c>
      <c r="JSO14" s="137" t="s">
        <v>7479</v>
      </c>
      <c r="JSP14" s="137" t="s">
        <v>7480</v>
      </c>
      <c r="JSQ14" s="137" t="s">
        <v>7481</v>
      </c>
      <c r="JSR14" s="137" t="s">
        <v>7482</v>
      </c>
      <c r="JSS14" s="137" t="s">
        <v>7483</v>
      </c>
      <c r="JST14" s="137" t="s">
        <v>7484</v>
      </c>
      <c r="JSU14" s="137" t="s">
        <v>7485</v>
      </c>
      <c r="JSV14" s="137" t="s">
        <v>7486</v>
      </c>
      <c r="JSW14" s="137" t="s">
        <v>7487</v>
      </c>
      <c r="JSX14" s="137" t="s">
        <v>7488</v>
      </c>
      <c r="JSY14" s="137" t="s">
        <v>7489</v>
      </c>
      <c r="JSZ14" s="137" t="s">
        <v>7490</v>
      </c>
      <c r="JTA14" s="137" t="s">
        <v>7491</v>
      </c>
      <c r="JTB14" s="137" t="s">
        <v>7492</v>
      </c>
      <c r="JTC14" s="137" t="s">
        <v>7493</v>
      </c>
      <c r="JTD14" s="137" t="s">
        <v>7494</v>
      </c>
      <c r="JTE14" s="137" t="s">
        <v>7495</v>
      </c>
      <c r="JTF14" s="137" t="s">
        <v>7496</v>
      </c>
      <c r="JTG14" s="137" t="s">
        <v>7497</v>
      </c>
      <c r="JTH14" s="137" t="s">
        <v>7498</v>
      </c>
      <c r="JTI14" s="137" t="s">
        <v>7499</v>
      </c>
      <c r="JTJ14" s="137" t="s">
        <v>7500</v>
      </c>
      <c r="JTK14" s="137" t="s">
        <v>7501</v>
      </c>
      <c r="JTL14" s="137" t="s">
        <v>7502</v>
      </c>
      <c r="JTM14" s="137" t="s">
        <v>7503</v>
      </c>
      <c r="JTN14" s="137" t="s">
        <v>7504</v>
      </c>
      <c r="JTO14" s="137" t="s">
        <v>7505</v>
      </c>
      <c r="JTP14" s="137" t="s">
        <v>7506</v>
      </c>
      <c r="JTQ14" s="137" t="s">
        <v>7507</v>
      </c>
      <c r="JTR14" s="137" t="s">
        <v>7508</v>
      </c>
      <c r="JTS14" s="137" t="s">
        <v>7509</v>
      </c>
      <c r="JTT14" s="137" t="s">
        <v>7510</v>
      </c>
      <c r="JTU14" s="137" t="s">
        <v>7511</v>
      </c>
      <c r="JTV14" s="137" t="s">
        <v>7512</v>
      </c>
      <c r="JTW14" s="137" t="s">
        <v>7513</v>
      </c>
      <c r="JTX14" s="137" t="s">
        <v>7514</v>
      </c>
      <c r="JTY14" s="137" t="s">
        <v>7515</v>
      </c>
      <c r="JTZ14" s="137" t="s">
        <v>7516</v>
      </c>
      <c r="JUA14" s="137" t="s">
        <v>7517</v>
      </c>
      <c r="JUB14" s="137" t="s">
        <v>7518</v>
      </c>
      <c r="JUC14" s="137" t="s">
        <v>7519</v>
      </c>
      <c r="JUD14" s="137" t="s">
        <v>7520</v>
      </c>
      <c r="JUE14" s="137" t="s">
        <v>7521</v>
      </c>
      <c r="JUF14" s="137" t="s">
        <v>7522</v>
      </c>
      <c r="JUG14" s="137" t="s">
        <v>7523</v>
      </c>
      <c r="JUH14" s="137" t="s">
        <v>7524</v>
      </c>
      <c r="JUI14" s="137" t="s">
        <v>7525</v>
      </c>
      <c r="JUJ14" s="137" t="s">
        <v>7526</v>
      </c>
      <c r="JUK14" s="137" t="s">
        <v>7527</v>
      </c>
      <c r="JUL14" s="137" t="s">
        <v>7528</v>
      </c>
      <c r="JUM14" s="137" t="s">
        <v>7529</v>
      </c>
      <c r="JUN14" s="137" t="s">
        <v>7530</v>
      </c>
      <c r="JUO14" s="137" t="s">
        <v>7531</v>
      </c>
      <c r="JUP14" s="137" t="s">
        <v>7532</v>
      </c>
      <c r="JUQ14" s="137" t="s">
        <v>7533</v>
      </c>
      <c r="JUR14" s="137" t="s">
        <v>7534</v>
      </c>
      <c r="JUS14" s="137" t="s">
        <v>7535</v>
      </c>
      <c r="JUT14" s="137" t="s">
        <v>7536</v>
      </c>
      <c r="JUU14" s="137" t="s">
        <v>7537</v>
      </c>
      <c r="JUV14" s="137" t="s">
        <v>7538</v>
      </c>
      <c r="JUW14" s="137" t="s">
        <v>7539</v>
      </c>
      <c r="JUX14" s="137" t="s">
        <v>7540</v>
      </c>
      <c r="JUY14" s="137" t="s">
        <v>7541</v>
      </c>
      <c r="JUZ14" s="137" t="s">
        <v>7542</v>
      </c>
      <c r="JVA14" s="137" t="s">
        <v>7543</v>
      </c>
      <c r="JVB14" s="137" t="s">
        <v>7544</v>
      </c>
      <c r="JVC14" s="137" t="s">
        <v>7545</v>
      </c>
      <c r="JVD14" s="137" t="s">
        <v>7546</v>
      </c>
      <c r="JVE14" s="137" t="s">
        <v>7547</v>
      </c>
      <c r="JVF14" s="137" t="s">
        <v>7548</v>
      </c>
      <c r="JVG14" s="137" t="s">
        <v>7549</v>
      </c>
      <c r="JVH14" s="137" t="s">
        <v>7550</v>
      </c>
      <c r="JVI14" s="137" t="s">
        <v>7551</v>
      </c>
      <c r="JVJ14" s="137" t="s">
        <v>7552</v>
      </c>
      <c r="JVK14" s="137" t="s">
        <v>7553</v>
      </c>
      <c r="JVL14" s="137" t="s">
        <v>7554</v>
      </c>
      <c r="JVM14" s="137" t="s">
        <v>7555</v>
      </c>
      <c r="JVN14" s="137" t="s">
        <v>7556</v>
      </c>
      <c r="JVO14" s="137" t="s">
        <v>7557</v>
      </c>
      <c r="JVP14" s="137" t="s">
        <v>7558</v>
      </c>
      <c r="JVQ14" s="137" t="s">
        <v>7559</v>
      </c>
      <c r="JVR14" s="137" t="s">
        <v>7560</v>
      </c>
      <c r="JVS14" s="137" t="s">
        <v>7561</v>
      </c>
      <c r="JVT14" s="137" t="s">
        <v>7562</v>
      </c>
      <c r="JVU14" s="137" t="s">
        <v>7563</v>
      </c>
      <c r="JVV14" s="137" t="s">
        <v>7564</v>
      </c>
      <c r="JVW14" s="137" t="s">
        <v>7565</v>
      </c>
      <c r="JVX14" s="137" t="s">
        <v>7566</v>
      </c>
      <c r="JVY14" s="137" t="s">
        <v>7567</v>
      </c>
      <c r="JVZ14" s="137" t="s">
        <v>7568</v>
      </c>
      <c r="JWA14" s="137" t="s">
        <v>7569</v>
      </c>
      <c r="JWB14" s="137" t="s">
        <v>7570</v>
      </c>
      <c r="JWC14" s="137" t="s">
        <v>7571</v>
      </c>
      <c r="JWD14" s="137" t="s">
        <v>7572</v>
      </c>
      <c r="JWE14" s="137" t="s">
        <v>7573</v>
      </c>
      <c r="JWF14" s="137" t="s">
        <v>7574</v>
      </c>
      <c r="JWG14" s="137" t="s">
        <v>7575</v>
      </c>
      <c r="JWH14" s="137" t="s">
        <v>7576</v>
      </c>
      <c r="JWI14" s="137" t="s">
        <v>7577</v>
      </c>
      <c r="JWJ14" s="137" t="s">
        <v>7578</v>
      </c>
      <c r="JWK14" s="137" t="s">
        <v>7579</v>
      </c>
      <c r="JWL14" s="137" t="s">
        <v>7580</v>
      </c>
      <c r="JWM14" s="137" t="s">
        <v>7581</v>
      </c>
      <c r="JWN14" s="137" t="s">
        <v>7582</v>
      </c>
      <c r="JWO14" s="137" t="s">
        <v>7583</v>
      </c>
      <c r="JWP14" s="137" t="s">
        <v>7584</v>
      </c>
      <c r="JWQ14" s="137" t="s">
        <v>7585</v>
      </c>
      <c r="JWR14" s="137" t="s">
        <v>7586</v>
      </c>
      <c r="JWS14" s="137" t="s">
        <v>7587</v>
      </c>
      <c r="JWT14" s="137" t="s">
        <v>7588</v>
      </c>
      <c r="JWU14" s="137" t="s">
        <v>7589</v>
      </c>
      <c r="JWV14" s="137" t="s">
        <v>7590</v>
      </c>
      <c r="JWW14" s="137" t="s">
        <v>7591</v>
      </c>
      <c r="JWX14" s="137" t="s">
        <v>7592</v>
      </c>
      <c r="JWY14" s="137" t="s">
        <v>7593</v>
      </c>
      <c r="JWZ14" s="137" t="s">
        <v>7594</v>
      </c>
      <c r="JXA14" s="137" t="s">
        <v>7595</v>
      </c>
      <c r="JXB14" s="137" t="s">
        <v>7596</v>
      </c>
      <c r="JXC14" s="137" t="s">
        <v>7597</v>
      </c>
      <c r="JXD14" s="137" t="s">
        <v>7598</v>
      </c>
      <c r="JXE14" s="137" t="s">
        <v>7599</v>
      </c>
      <c r="JXF14" s="137" t="s">
        <v>7600</v>
      </c>
      <c r="JXG14" s="137" t="s">
        <v>7601</v>
      </c>
      <c r="JXH14" s="137" t="s">
        <v>7602</v>
      </c>
      <c r="JXI14" s="137" t="s">
        <v>7603</v>
      </c>
      <c r="JXJ14" s="137" t="s">
        <v>7604</v>
      </c>
      <c r="JXK14" s="137" t="s">
        <v>7605</v>
      </c>
      <c r="JXL14" s="137" t="s">
        <v>7606</v>
      </c>
      <c r="JXM14" s="137" t="s">
        <v>7607</v>
      </c>
      <c r="JXN14" s="137" t="s">
        <v>7608</v>
      </c>
      <c r="JXO14" s="137" t="s">
        <v>7609</v>
      </c>
      <c r="JXP14" s="137" t="s">
        <v>7610</v>
      </c>
      <c r="JXQ14" s="137" t="s">
        <v>7611</v>
      </c>
      <c r="JXR14" s="137" t="s">
        <v>7612</v>
      </c>
      <c r="JXS14" s="137" t="s">
        <v>7613</v>
      </c>
      <c r="JXT14" s="137" t="s">
        <v>7614</v>
      </c>
      <c r="JXU14" s="137" t="s">
        <v>7615</v>
      </c>
      <c r="JXV14" s="137" t="s">
        <v>7616</v>
      </c>
      <c r="JXW14" s="137" t="s">
        <v>7617</v>
      </c>
      <c r="JXX14" s="137" t="s">
        <v>7618</v>
      </c>
      <c r="JXY14" s="137" t="s">
        <v>7619</v>
      </c>
      <c r="JXZ14" s="137" t="s">
        <v>7620</v>
      </c>
      <c r="JYA14" s="137" t="s">
        <v>7621</v>
      </c>
      <c r="JYB14" s="137" t="s">
        <v>7622</v>
      </c>
      <c r="JYC14" s="137" t="s">
        <v>7623</v>
      </c>
      <c r="JYD14" s="137" t="s">
        <v>7624</v>
      </c>
      <c r="JYE14" s="137" t="s">
        <v>7625</v>
      </c>
      <c r="JYF14" s="137" t="s">
        <v>7626</v>
      </c>
      <c r="JYG14" s="137" t="s">
        <v>7627</v>
      </c>
      <c r="JYH14" s="137" t="s">
        <v>7628</v>
      </c>
      <c r="JYI14" s="137" t="s">
        <v>7629</v>
      </c>
      <c r="JYJ14" s="137" t="s">
        <v>7630</v>
      </c>
      <c r="JYK14" s="137" t="s">
        <v>7631</v>
      </c>
      <c r="JYL14" s="137" t="s">
        <v>7632</v>
      </c>
      <c r="JYM14" s="137" t="s">
        <v>7633</v>
      </c>
      <c r="JYN14" s="137" t="s">
        <v>7634</v>
      </c>
      <c r="JYO14" s="137" t="s">
        <v>7635</v>
      </c>
      <c r="JYP14" s="137" t="s">
        <v>7636</v>
      </c>
      <c r="JYQ14" s="137" t="s">
        <v>7637</v>
      </c>
      <c r="JYR14" s="137" t="s">
        <v>7638</v>
      </c>
      <c r="JYS14" s="137" t="s">
        <v>7639</v>
      </c>
      <c r="JYT14" s="137" t="s">
        <v>7640</v>
      </c>
      <c r="JYU14" s="137" t="s">
        <v>7641</v>
      </c>
      <c r="JYV14" s="137" t="s">
        <v>7642</v>
      </c>
      <c r="JYW14" s="137" t="s">
        <v>7643</v>
      </c>
      <c r="JYX14" s="137" t="s">
        <v>7644</v>
      </c>
      <c r="JYY14" s="137" t="s">
        <v>7645</v>
      </c>
      <c r="JYZ14" s="137" t="s">
        <v>7646</v>
      </c>
      <c r="JZA14" s="137" t="s">
        <v>7647</v>
      </c>
      <c r="JZB14" s="137" t="s">
        <v>7648</v>
      </c>
      <c r="JZC14" s="137" t="s">
        <v>7649</v>
      </c>
      <c r="JZD14" s="137" t="s">
        <v>7650</v>
      </c>
      <c r="JZE14" s="137" t="s">
        <v>7651</v>
      </c>
      <c r="JZF14" s="137" t="s">
        <v>7652</v>
      </c>
      <c r="JZG14" s="137" t="s">
        <v>7653</v>
      </c>
      <c r="JZH14" s="137" t="s">
        <v>7654</v>
      </c>
      <c r="JZI14" s="137" t="s">
        <v>7655</v>
      </c>
      <c r="JZJ14" s="137" t="s">
        <v>7656</v>
      </c>
      <c r="JZK14" s="137" t="s">
        <v>7657</v>
      </c>
      <c r="JZL14" s="137" t="s">
        <v>7658</v>
      </c>
      <c r="JZM14" s="137" t="s">
        <v>7659</v>
      </c>
      <c r="JZN14" s="137" t="s">
        <v>7660</v>
      </c>
      <c r="JZO14" s="137" t="s">
        <v>7661</v>
      </c>
      <c r="JZP14" s="137" t="s">
        <v>7662</v>
      </c>
      <c r="JZQ14" s="137" t="s">
        <v>7663</v>
      </c>
      <c r="JZR14" s="137" t="s">
        <v>7664</v>
      </c>
      <c r="JZS14" s="137" t="s">
        <v>7665</v>
      </c>
      <c r="JZT14" s="137" t="s">
        <v>7666</v>
      </c>
      <c r="JZU14" s="137" t="s">
        <v>7667</v>
      </c>
      <c r="JZV14" s="137" t="s">
        <v>7668</v>
      </c>
      <c r="JZW14" s="137" t="s">
        <v>7669</v>
      </c>
      <c r="JZX14" s="137" t="s">
        <v>7670</v>
      </c>
      <c r="JZY14" s="137" t="s">
        <v>7671</v>
      </c>
      <c r="JZZ14" s="137" t="s">
        <v>7672</v>
      </c>
      <c r="KAA14" s="137" t="s">
        <v>7673</v>
      </c>
      <c r="KAB14" s="137" t="s">
        <v>7674</v>
      </c>
      <c r="KAC14" s="137" t="s">
        <v>7675</v>
      </c>
      <c r="KAD14" s="137" t="s">
        <v>7676</v>
      </c>
      <c r="KAE14" s="137" t="s">
        <v>7677</v>
      </c>
      <c r="KAF14" s="137" t="s">
        <v>7678</v>
      </c>
      <c r="KAG14" s="137" t="s">
        <v>7679</v>
      </c>
      <c r="KAH14" s="137" t="s">
        <v>7680</v>
      </c>
      <c r="KAI14" s="137" t="s">
        <v>7681</v>
      </c>
      <c r="KAJ14" s="137" t="s">
        <v>7682</v>
      </c>
      <c r="KAK14" s="137" t="s">
        <v>7683</v>
      </c>
      <c r="KAL14" s="137" t="s">
        <v>7684</v>
      </c>
      <c r="KAM14" s="137" t="s">
        <v>7685</v>
      </c>
      <c r="KAN14" s="137" t="s">
        <v>7686</v>
      </c>
      <c r="KAO14" s="137" t="s">
        <v>7687</v>
      </c>
      <c r="KAP14" s="137" t="s">
        <v>7688</v>
      </c>
      <c r="KAQ14" s="137" t="s">
        <v>7689</v>
      </c>
      <c r="KAR14" s="137" t="s">
        <v>7690</v>
      </c>
      <c r="KAS14" s="137" t="s">
        <v>7691</v>
      </c>
      <c r="KAT14" s="137" t="s">
        <v>7692</v>
      </c>
      <c r="KAU14" s="137" t="s">
        <v>7693</v>
      </c>
      <c r="KAV14" s="137" t="s">
        <v>7694</v>
      </c>
      <c r="KAW14" s="137" t="s">
        <v>7695</v>
      </c>
      <c r="KAX14" s="137" t="s">
        <v>7696</v>
      </c>
      <c r="KAY14" s="137" t="s">
        <v>7697</v>
      </c>
      <c r="KAZ14" s="137" t="s">
        <v>7698</v>
      </c>
      <c r="KBA14" s="137" t="s">
        <v>7699</v>
      </c>
      <c r="KBB14" s="137" t="s">
        <v>7700</v>
      </c>
      <c r="KBC14" s="137" t="s">
        <v>7701</v>
      </c>
      <c r="KBD14" s="137" t="s">
        <v>7702</v>
      </c>
      <c r="KBE14" s="137" t="s">
        <v>7703</v>
      </c>
      <c r="KBF14" s="137" t="s">
        <v>7704</v>
      </c>
      <c r="KBG14" s="137" t="s">
        <v>7705</v>
      </c>
      <c r="KBH14" s="137" t="s">
        <v>7706</v>
      </c>
      <c r="KBI14" s="137" t="s">
        <v>7707</v>
      </c>
      <c r="KBJ14" s="137" t="s">
        <v>7708</v>
      </c>
      <c r="KBK14" s="137" t="s">
        <v>7709</v>
      </c>
      <c r="KBL14" s="137" t="s">
        <v>7710</v>
      </c>
      <c r="KBM14" s="137" t="s">
        <v>7711</v>
      </c>
      <c r="KBN14" s="137" t="s">
        <v>7712</v>
      </c>
      <c r="KBO14" s="137" t="s">
        <v>7713</v>
      </c>
      <c r="KBP14" s="137" t="s">
        <v>7714</v>
      </c>
      <c r="KBQ14" s="137" t="s">
        <v>7715</v>
      </c>
      <c r="KBR14" s="137" t="s">
        <v>7716</v>
      </c>
      <c r="KBS14" s="137" t="s">
        <v>7717</v>
      </c>
      <c r="KBT14" s="137" t="s">
        <v>7718</v>
      </c>
      <c r="KBU14" s="137" t="s">
        <v>7719</v>
      </c>
      <c r="KBV14" s="137" t="s">
        <v>7720</v>
      </c>
      <c r="KBW14" s="137" t="s">
        <v>7721</v>
      </c>
      <c r="KBX14" s="137" t="s">
        <v>7722</v>
      </c>
      <c r="KBY14" s="137" t="s">
        <v>7723</v>
      </c>
      <c r="KBZ14" s="137" t="s">
        <v>7724</v>
      </c>
      <c r="KCA14" s="137" t="s">
        <v>7725</v>
      </c>
      <c r="KCB14" s="137" t="s">
        <v>7726</v>
      </c>
      <c r="KCC14" s="137" t="s">
        <v>7727</v>
      </c>
      <c r="KCD14" s="137" t="s">
        <v>7728</v>
      </c>
      <c r="KCE14" s="137" t="s">
        <v>7729</v>
      </c>
      <c r="KCF14" s="137" t="s">
        <v>7730</v>
      </c>
      <c r="KCG14" s="137" t="s">
        <v>7731</v>
      </c>
      <c r="KCH14" s="137" t="s">
        <v>7732</v>
      </c>
      <c r="KCI14" s="137" t="s">
        <v>7733</v>
      </c>
      <c r="KCJ14" s="137" t="s">
        <v>7734</v>
      </c>
      <c r="KCK14" s="137" t="s">
        <v>7735</v>
      </c>
      <c r="KCL14" s="137" t="s">
        <v>7736</v>
      </c>
      <c r="KCM14" s="137" t="s">
        <v>7737</v>
      </c>
      <c r="KCN14" s="137" t="s">
        <v>7738</v>
      </c>
      <c r="KCO14" s="137" t="s">
        <v>7739</v>
      </c>
      <c r="KCP14" s="137" t="s">
        <v>7740</v>
      </c>
      <c r="KCQ14" s="137" t="s">
        <v>7741</v>
      </c>
      <c r="KCR14" s="137" t="s">
        <v>7742</v>
      </c>
      <c r="KCS14" s="137" t="s">
        <v>7743</v>
      </c>
      <c r="KCT14" s="137" t="s">
        <v>7744</v>
      </c>
      <c r="KCU14" s="137" t="s">
        <v>7745</v>
      </c>
      <c r="KCV14" s="137" t="s">
        <v>7746</v>
      </c>
      <c r="KCW14" s="137" t="s">
        <v>7747</v>
      </c>
      <c r="KCX14" s="137" t="s">
        <v>7748</v>
      </c>
      <c r="KCY14" s="137" t="s">
        <v>7749</v>
      </c>
      <c r="KCZ14" s="137" t="s">
        <v>7750</v>
      </c>
      <c r="KDA14" s="137" t="s">
        <v>7751</v>
      </c>
      <c r="KDB14" s="137" t="s">
        <v>7752</v>
      </c>
      <c r="KDC14" s="137" t="s">
        <v>7753</v>
      </c>
      <c r="KDD14" s="137" t="s">
        <v>7754</v>
      </c>
      <c r="KDE14" s="137" t="s">
        <v>7755</v>
      </c>
      <c r="KDF14" s="137" t="s">
        <v>7756</v>
      </c>
      <c r="KDG14" s="137" t="s">
        <v>7757</v>
      </c>
      <c r="KDH14" s="137" t="s">
        <v>7758</v>
      </c>
      <c r="KDI14" s="137" t="s">
        <v>7759</v>
      </c>
      <c r="KDJ14" s="137" t="s">
        <v>7760</v>
      </c>
      <c r="KDK14" s="137" t="s">
        <v>7761</v>
      </c>
      <c r="KDL14" s="137" t="s">
        <v>7762</v>
      </c>
      <c r="KDM14" s="137" t="s">
        <v>7763</v>
      </c>
      <c r="KDN14" s="137" t="s">
        <v>7764</v>
      </c>
      <c r="KDO14" s="137" t="s">
        <v>7765</v>
      </c>
      <c r="KDP14" s="137" t="s">
        <v>7766</v>
      </c>
      <c r="KDQ14" s="137" t="s">
        <v>7767</v>
      </c>
      <c r="KDR14" s="137" t="s">
        <v>7768</v>
      </c>
      <c r="KDS14" s="137" t="s">
        <v>7769</v>
      </c>
      <c r="KDT14" s="137" t="s">
        <v>7770</v>
      </c>
      <c r="KDU14" s="137" t="s">
        <v>7771</v>
      </c>
      <c r="KDV14" s="137" t="s">
        <v>7772</v>
      </c>
      <c r="KDW14" s="137" t="s">
        <v>7773</v>
      </c>
      <c r="KDX14" s="137" t="s">
        <v>7774</v>
      </c>
      <c r="KDY14" s="137" t="s">
        <v>7775</v>
      </c>
      <c r="KDZ14" s="137" t="s">
        <v>7776</v>
      </c>
      <c r="KEA14" s="137" t="s">
        <v>7777</v>
      </c>
      <c r="KEB14" s="137" t="s">
        <v>7778</v>
      </c>
      <c r="KEC14" s="137" t="s">
        <v>7779</v>
      </c>
      <c r="KED14" s="137" t="s">
        <v>7780</v>
      </c>
      <c r="KEE14" s="137" t="s">
        <v>7781</v>
      </c>
      <c r="KEF14" s="137" t="s">
        <v>7782</v>
      </c>
      <c r="KEG14" s="137" t="s">
        <v>7783</v>
      </c>
      <c r="KEH14" s="137" t="s">
        <v>7784</v>
      </c>
      <c r="KEI14" s="137" t="s">
        <v>7785</v>
      </c>
      <c r="KEJ14" s="137" t="s">
        <v>7786</v>
      </c>
      <c r="KEK14" s="137" t="s">
        <v>7787</v>
      </c>
      <c r="KEL14" s="137" t="s">
        <v>7788</v>
      </c>
      <c r="KEM14" s="137" t="s">
        <v>7789</v>
      </c>
      <c r="KEN14" s="137" t="s">
        <v>7790</v>
      </c>
      <c r="KEO14" s="137" t="s">
        <v>7791</v>
      </c>
      <c r="KEP14" s="137" t="s">
        <v>7792</v>
      </c>
      <c r="KEQ14" s="137" t="s">
        <v>7793</v>
      </c>
      <c r="KER14" s="137" t="s">
        <v>7794</v>
      </c>
      <c r="KES14" s="137" t="s">
        <v>7795</v>
      </c>
      <c r="KET14" s="137" t="s">
        <v>7796</v>
      </c>
      <c r="KEU14" s="137" t="s">
        <v>7797</v>
      </c>
      <c r="KEV14" s="137" t="s">
        <v>7798</v>
      </c>
      <c r="KEW14" s="137" t="s">
        <v>7799</v>
      </c>
      <c r="KEX14" s="137" t="s">
        <v>7800</v>
      </c>
      <c r="KEY14" s="137" t="s">
        <v>7801</v>
      </c>
      <c r="KEZ14" s="137" t="s">
        <v>7802</v>
      </c>
      <c r="KFA14" s="137" t="s">
        <v>7803</v>
      </c>
      <c r="KFB14" s="137" t="s">
        <v>7804</v>
      </c>
      <c r="KFC14" s="137" t="s">
        <v>7805</v>
      </c>
      <c r="KFD14" s="137" t="s">
        <v>7806</v>
      </c>
      <c r="KFE14" s="137" t="s">
        <v>7807</v>
      </c>
      <c r="KFF14" s="137" t="s">
        <v>7808</v>
      </c>
      <c r="KFG14" s="137" t="s">
        <v>7809</v>
      </c>
      <c r="KFH14" s="137" t="s">
        <v>7810</v>
      </c>
      <c r="KFI14" s="137" t="s">
        <v>7811</v>
      </c>
      <c r="KFJ14" s="137" t="s">
        <v>7812</v>
      </c>
      <c r="KFK14" s="137" t="s">
        <v>7813</v>
      </c>
      <c r="KFL14" s="137" t="s">
        <v>7814</v>
      </c>
      <c r="KFM14" s="137" t="s">
        <v>7815</v>
      </c>
      <c r="KFN14" s="137" t="s">
        <v>7816</v>
      </c>
      <c r="KFO14" s="137" t="s">
        <v>7817</v>
      </c>
      <c r="KFP14" s="137" t="s">
        <v>7818</v>
      </c>
      <c r="KFQ14" s="137" t="s">
        <v>7819</v>
      </c>
      <c r="KFR14" s="137" t="s">
        <v>7820</v>
      </c>
      <c r="KFS14" s="137" t="s">
        <v>7821</v>
      </c>
      <c r="KFT14" s="137" t="s">
        <v>7822</v>
      </c>
      <c r="KFU14" s="137" t="s">
        <v>7823</v>
      </c>
      <c r="KFV14" s="137" t="s">
        <v>7824</v>
      </c>
      <c r="KFW14" s="137" t="s">
        <v>7825</v>
      </c>
      <c r="KFX14" s="137" t="s">
        <v>7826</v>
      </c>
      <c r="KFY14" s="137" t="s">
        <v>7827</v>
      </c>
      <c r="KFZ14" s="137" t="s">
        <v>7828</v>
      </c>
      <c r="KGA14" s="137" t="s">
        <v>7829</v>
      </c>
      <c r="KGB14" s="137" t="s">
        <v>7830</v>
      </c>
      <c r="KGC14" s="137" t="s">
        <v>7831</v>
      </c>
      <c r="KGD14" s="137" t="s">
        <v>7832</v>
      </c>
      <c r="KGE14" s="137" t="s">
        <v>7833</v>
      </c>
      <c r="KGF14" s="137" t="s">
        <v>7834</v>
      </c>
      <c r="KGG14" s="137" t="s">
        <v>7835</v>
      </c>
      <c r="KGH14" s="137" t="s">
        <v>7836</v>
      </c>
      <c r="KGI14" s="137" t="s">
        <v>7837</v>
      </c>
      <c r="KGJ14" s="137" t="s">
        <v>7838</v>
      </c>
      <c r="KGK14" s="137" t="s">
        <v>7839</v>
      </c>
      <c r="KGL14" s="137" t="s">
        <v>7840</v>
      </c>
      <c r="KGM14" s="137" t="s">
        <v>7841</v>
      </c>
      <c r="KGN14" s="137" t="s">
        <v>7842</v>
      </c>
      <c r="KGO14" s="137" t="s">
        <v>7843</v>
      </c>
      <c r="KGP14" s="137" t="s">
        <v>7844</v>
      </c>
      <c r="KGQ14" s="137" t="s">
        <v>7845</v>
      </c>
      <c r="KGR14" s="137" t="s">
        <v>7846</v>
      </c>
      <c r="KGS14" s="137" t="s">
        <v>7847</v>
      </c>
      <c r="KGT14" s="137" t="s">
        <v>7848</v>
      </c>
      <c r="KGU14" s="137" t="s">
        <v>7849</v>
      </c>
      <c r="KGV14" s="137" t="s">
        <v>7850</v>
      </c>
      <c r="KGW14" s="137" t="s">
        <v>7851</v>
      </c>
      <c r="KGX14" s="137" t="s">
        <v>7852</v>
      </c>
      <c r="KGY14" s="137" t="s">
        <v>7853</v>
      </c>
      <c r="KGZ14" s="137" t="s">
        <v>7854</v>
      </c>
      <c r="KHA14" s="137" t="s">
        <v>7855</v>
      </c>
      <c r="KHB14" s="137" t="s">
        <v>7856</v>
      </c>
      <c r="KHC14" s="137" t="s">
        <v>7857</v>
      </c>
      <c r="KHD14" s="137" t="s">
        <v>7858</v>
      </c>
      <c r="KHE14" s="137" t="s">
        <v>7859</v>
      </c>
      <c r="KHF14" s="137" t="s">
        <v>7860</v>
      </c>
      <c r="KHG14" s="137" t="s">
        <v>7861</v>
      </c>
      <c r="KHH14" s="137" t="s">
        <v>7862</v>
      </c>
      <c r="KHI14" s="137" t="s">
        <v>7863</v>
      </c>
      <c r="KHJ14" s="137" t="s">
        <v>7864</v>
      </c>
      <c r="KHK14" s="137" t="s">
        <v>7865</v>
      </c>
      <c r="KHL14" s="137" t="s">
        <v>7866</v>
      </c>
      <c r="KHM14" s="137" t="s">
        <v>7867</v>
      </c>
      <c r="KHN14" s="137" t="s">
        <v>7868</v>
      </c>
      <c r="KHO14" s="137" t="s">
        <v>7869</v>
      </c>
      <c r="KHP14" s="137" t="s">
        <v>7870</v>
      </c>
      <c r="KHQ14" s="137" t="s">
        <v>7871</v>
      </c>
      <c r="KHR14" s="137" t="s">
        <v>7872</v>
      </c>
      <c r="KHS14" s="137" t="s">
        <v>7873</v>
      </c>
      <c r="KHT14" s="137" t="s">
        <v>7874</v>
      </c>
      <c r="KHU14" s="137" t="s">
        <v>7875</v>
      </c>
      <c r="KHV14" s="137" t="s">
        <v>7876</v>
      </c>
      <c r="KHW14" s="137" t="s">
        <v>7877</v>
      </c>
      <c r="KHX14" s="137" t="s">
        <v>7878</v>
      </c>
      <c r="KHY14" s="137" t="s">
        <v>7879</v>
      </c>
      <c r="KHZ14" s="137" t="s">
        <v>7880</v>
      </c>
      <c r="KIA14" s="137" t="s">
        <v>7881</v>
      </c>
      <c r="KIB14" s="137" t="s">
        <v>7882</v>
      </c>
      <c r="KIC14" s="137" t="s">
        <v>7883</v>
      </c>
      <c r="KID14" s="137" t="s">
        <v>7884</v>
      </c>
      <c r="KIE14" s="137" t="s">
        <v>7885</v>
      </c>
      <c r="KIF14" s="137" t="s">
        <v>7886</v>
      </c>
      <c r="KIG14" s="137" t="s">
        <v>7887</v>
      </c>
      <c r="KIH14" s="137" t="s">
        <v>7888</v>
      </c>
      <c r="KII14" s="137" t="s">
        <v>7889</v>
      </c>
      <c r="KIJ14" s="137" t="s">
        <v>7890</v>
      </c>
      <c r="KIK14" s="137" t="s">
        <v>7891</v>
      </c>
      <c r="KIL14" s="137" t="s">
        <v>7892</v>
      </c>
      <c r="KIM14" s="137" t="s">
        <v>7893</v>
      </c>
      <c r="KIN14" s="137" t="s">
        <v>7894</v>
      </c>
      <c r="KIO14" s="137" t="s">
        <v>7895</v>
      </c>
      <c r="KIP14" s="137" t="s">
        <v>7896</v>
      </c>
      <c r="KIQ14" s="137" t="s">
        <v>7897</v>
      </c>
      <c r="KIR14" s="137" t="s">
        <v>7898</v>
      </c>
      <c r="KIS14" s="137" t="s">
        <v>7899</v>
      </c>
      <c r="KIT14" s="137" t="s">
        <v>7900</v>
      </c>
      <c r="KIU14" s="137" t="s">
        <v>7901</v>
      </c>
      <c r="KIV14" s="137" t="s">
        <v>7902</v>
      </c>
      <c r="KIW14" s="137" t="s">
        <v>7903</v>
      </c>
      <c r="KIX14" s="137" t="s">
        <v>7904</v>
      </c>
      <c r="KIY14" s="137" t="s">
        <v>7905</v>
      </c>
      <c r="KIZ14" s="137" t="s">
        <v>7906</v>
      </c>
      <c r="KJA14" s="137" t="s">
        <v>7907</v>
      </c>
      <c r="KJB14" s="137" t="s">
        <v>7908</v>
      </c>
      <c r="KJC14" s="137" t="s">
        <v>7909</v>
      </c>
      <c r="KJD14" s="137" t="s">
        <v>7910</v>
      </c>
      <c r="KJE14" s="137" t="s">
        <v>7911</v>
      </c>
      <c r="KJF14" s="137" t="s">
        <v>7912</v>
      </c>
      <c r="KJG14" s="137" t="s">
        <v>7913</v>
      </c>
      <c r="KJH14" s="137" t="s">
        <v>7914</v>
      </c>
      <c r="KJI14" s="137" t="s">
        <v>7915</v>
      </c>
      <c r="KJJ14" s="137" t="s">
        <v>7916</v>
      </c>
      <c r="KJK14" s="137" t="s">
        <v>7917</v>
      </c>
      <c r="KJL14" s="137" t="s">
        <v>7918</v>
      </c>
      <c r="KJM14" s="137" t="s">
        <v>7919</v>
      </c>
      <c r="KJN14" s="137" t="s">
        <v>7920</v>
      </c>
      <c r="KJO14" s="137" t="s">
        <v>7921</v>
      </c>
      <c r="KJP14" s="137" t="s">
        <v>7922</v>
      </c>
      <c r="KJQ14" s="137" t="s">
        <v>7923</v>
      </c>
      <c r="KJR14" s="137" t="s">
        <v>7924</v>
      </c>
      <c r="KJS14" s="137" t="s">
        <v>7925</v>
      </c>
      <c r="KJT14" s="137" t="s">
        <v>7926</v>
      </c>
      <c r="KJU14" s="137" t="s">
        <v>7927</v>
      </c>
      <c r="KJV14" s="137" t="s">
        <v>7928</v>
      </c>
      <c r="KJW14" s="137" t="s">
        <v>7929</v>
      </c>
      <c r="KJX14" s="137" t="s">
        <v>7930</v>
      </c>
      <c r="KJY14" s="137" t="s">
        <v>7931</v>
      </c>
      <c r="KJZ14" s="137" t="s">
        <v>7932</v>
      </c>
      <c r="KKA14" s="137" t="s">
        <v>7933</v>
      </c>
      <c r="KKB14" s="137" t="s">
        <v>7934</v>
      </c>
      <c r="KKC14" s="137" t="s">
        <v>7935</v>
      </c>
      <c r="KKD14" s="137" t="s">
        <v>7936</v>
      </c>
      <c r="KKE14" s="137" t="s">
        <v>7937</v>
      </c>
      <c r="KKF14" s="137" t="s">
        <v>7938</v>
      </c>
      <c r="KKG14" s="137" t="s">
        <v>7939</v>
      </c>
      <c r="KKH14" s="137" t="s">
        <v>7940</v>
      </c>
      <c r="KKI14" s="137" t="s">
        <v>7941</v>
      </c>
      <c r="KKJ14" s="137" t="s">
        <v>7942</v>
      </c>
      <c r="KKK14" s="137" t="s">
        <v>7943</v>
      </c>
      <c r="KKL14" s="137" t="s">
        <v>7944</v>
      </c>
      <c r="KKM14" s="137" t="s">
        <v>7945</v>
      </c>
      <c r="KKN14" s="137" t="s">
        <v>7946</v>
      </c>
      <c r="KKO14" s="137" t="s">
        <v>7947</v>
      </c>
      <c r="KKP14" s="137" t="s">
        <v>7948</v>
      </c>
      <c r="KKQ14" s="137" t="s">
        <v>7949</v>
      </c>
      <c r="KKR14" s="137" t="s">
        <v>7950</v>
      </c>
      <c r="KKS14" s="137" t="s">
        <v>7951</v>
      </c>
      <c r="KKT14" s="137" t="s">
        <v>7952</v>
      </c>
      <c r="KKU14" s="137" t="s">
        <v>7953</v>
      </c>
      <c r="KKV14" s="137" t="s">
        <v>7954</v>
      </c>
      <c r="KKW14" s="137" t="s">
        <v>7955</v>
      </c>
      <c r="KKX14" s="137" t="s">
        <v>7956</v>
      </c>
      <c r="KKY14" s="137" t="s">
        <v>7957</v>
      </c>
      <c r="KKZ14" s="137" t="s">
        <v>7958</v>
      </c>
      <c r="KLA14" s="137" t="s">
        <v>7959</v>
      </c>
      <c r="KLB14" s="137" t="s">
        <v>7960</v>
      </c>
      <c r="KLC14" s="137" t="s">
        <v>7961</v>
      </c>
      <c r="KLD14" s="137" t="s">
        <v>7962</v>
      </c>
      <c r="KLE14" s="137" t="s">
        <v>7963</v>
      </c>
      <c r="KLF14" s="137" t="s">
        <v>7964</v>
      </c>
      <c r="KLG14" s="137" t="s">
        <v>7965</v>
      </c>
      <c r="KLH14" s="137" t="s">
        <v>7966</v>
      </c>
      <c r="KLI14" s="137" t="s">
        <v>7967</v>
      </c>
      <c r="KLJ14" s="137" t="s">
        <v>7968</v>
      </c>
      <c r="KLK14" s="137" t="s">
        <v>7969</v>
      </c>
      <c r="KLL14" s="137" t="s">
        <v>7970</v>
      </c>
      <c r="KLM14" s="137" t="s">
        <v>7971</v>
      </c>
      <c r="KLN14" s="137" t="s">
        <v>7972</v>
      </c>
      <c r="KLO14" s="137" t="s">
        <v>7973</v>
      </c>
      <c r="KLP14" s="137" t="s">
        <v>7974</v>
      </c>
      <c r="KLQ14" s="137" t="s">
        <v>7975</v>
      </c>
      <c r="KLR14" s="137" t="s">
        <v>7976</v>
      </c>
      <c r="KLS14" s="137" t="s">
        <v>7977</v>
      </c>
      <c r="KLT14" s="137" t="s">
        <v>7978</v>
      </c>
      <c r="KLU14" s="137" t="s">
        <v>7979</v>
      </c>
      <c r="KLV14" s="137" t="s">
        <v>7980</v>
      </c>
      <c r="KLW14" s="137" t="s">
        <v>7981</v>
      </c>
      <c r="KLX14" s="137" t="s">
        <v>7982</v>
      </c>
      <c r="KLY14" s="137" t="s">
        <v>7983</v>
      </c>
      <c r="KLZ14" s="137" t="s">
        <v>7984</v>
      </c>
      <c r="KMA14" s="137" t="s">
        <v>7985</v>
      </c>
      <c r="KMB14" s="137" t="s">
        <v>7986</v>
      </c>
      <c r="KMC14" s="137" t="s">
        <v>7987</v>
      </c>
      <c r="KMD14" s="137" t="s">
        <v>7988</v>
      </c>
      <c r="KME14" s="137" t="s">
        <v>7989</v>
      </c>
      <c r="KMF14" s="137" t="s">
        <v>7990</v>
      </c>
      <c r="KMG14" s="137" t="s">
        <v>7991</v>
      </c>
      <c r="KMH14" s="137" t="s">
        <v>7992</v>
      </c>
      <c r="KMI14" s="137" t="s">
        <v>7993</v>
      </c>
      <c r="KMJ14" s="137" t="s">
        <v>7994</v>
      </c>
      <c r="KMK14" s="137" t="s">
        <v>7995</v>
      </c>
      <c r="KML14" s="137" t="s">
        <v>7996</v>
      </c>
      <c r="KMM14" s="137" t="s">
        <v>7997</v>
      </c>
      <c r="KMN14" s="137" t="s">
        <v>7998</v>
      </c>
      <c r="KMO14" s="137" t="s">
        <v>7999</v>
      </c>
      <c r="KMP14" s="137" t="s">
        <v>8000</v>
      </c>
      <c r="KMQ14" s="137" t="s">
        <v>8001</v>
      </c>
      <c r="KMR14" s="137" t="s">
        <v>8002</v>
      </c>
      <c r="KMS14" s="137" t="s">
        <v>8003</v>
      </c>
      <c r="KMT14" s="137" t="s">
        <v>8004</v>
      </c>
      <c r="KMU14" s="137" t="s">
        <v>8005</v>
      </c>
      <c r="KMV14" s="137" t="s">
        <v>8006</v>
      </c>
      <c r="KMW14" s="137" t="s">
        <v>8007</v>
      </c>
      <c r="KMX14" s="137" t="s">
        <v>8008</v>
      </c>
      <c r="KMY14" s="137" t="s">
        <v>8009</v>
      </c>
      <c r="KMZ14" s="137" t="s">
        <v>8010</v>
      </c>
      <c r="KNA14" s="137" t="s">
        <v>8011</v>
      </c>
      <c r="KNB14" s="137" t="s">
        <v>8012</v>
      </c>
      <c r="KNC14" s="137" t="s">
        <v>8013</v>
      </c>
      <c r="KND14" s="137" t="s">
        <v>8014</v>
      </c>
      <c r="KNE14" s="137" t="s">
        <v>8015</v>
      </c>
      <c r="KNF14" s="137" t="s">
        <v>8016</v>
      </c>
      <c r="KNG14" s="137" t="s">
        <v>8017</v>
      </c>
      <c r="KNH14" s="137" t="s">
        <v>8018</v>
      </c>
      <c r="KNI14" s="137" t="s">
        <v>8019</v>
      </c>
      <c r="KNJ14" s="137" t="s">
        <v>8020</v>
      </c>
      <c r="KNK14" s="137" t="s">
        <v>8021</v>
      </c>
      <c r="KNL14" s="137" t="s">
        <v>8022</v>
      </c>
      <c r="KNM14" s="137" t="s">
        <v>8023</v>
      </c>
      <c r="KNN14" s="137" t="s">
        <v>8024</v>
      </c>
      <c r="KNO14" s="137" t="s">
        <v>8025</v>
      </c>
      <c r="KNP14" s="137" t="s">
        <v>8026</v>
      </c>
      <c r="KNQ14" s="137" t="s">
        <v>8027</v>
      </c>
      <c r="KNR14" s="137" t="s">
        <v>8028</v>
      </c>
      <c r="KNS14" s="137" t="s">
        <v>8029</v>
      </c>
      <c r="KNT14" s="137" t="s">
        <v>8030</v>
      </c>
      <c r="KNU14" s="137" t="s">
        <v>8031</v>
      </c>
      <c r="KNV14" s="137" t="s">
        <v>8032</v>
      </c>
      <c r="KNW14" s="137" t="s">
        <v>8033</v>
      </c>
      <c r="KNX14" s="137" t="s">
        <v>8034</v>
      </c>
      <c r="KNY14" s="137" t="s">
        <v>8035</v>
      </c>
      <c r="KNZ14" s="137" t="s">
        <v>8036</v>
      </c>
      <c r="KOA14" s="137" t="s">
        <v>8037</v>
      </c>
      <c r="KOB14" s="137" t="s">
        <v>8038</v>
      </c>
      <c r="KOC14" s="137" t="s">
        <v>8039</v>
      </c>
      <c r="KOD14" s="137" t="s">
        <v>8040</v>
      </c>
      <c r="KOE14" s="137" t="s">
        <v>8041</v>
      </c>
      <c r="KOF14" s="137" t="s">
        <v>8042</v>
      </c>
      <c r="KOG14" s="137" t="s">
        <v>8043</v>
      </c>
      <c r="KOH14" s="137" t="s">
        <v>8044</v>
      </c>
      <c r="KOI14" s="137" t="s">
        <v>8045</v>
      </c>
      <c r="KOJ14" s="137" t="s">
        <v>8046</v>
      </c>
      <c r="KOK14" s="137" t="s">
        <v>8047</v>
      </c>
      <c r="KOL14" s="137" t="s">
        <v>8048</v>
      </c>
      <c r="KOM14" s="137" t="s">
        <v>8049</v>
      </c>
      <c r="KON14" s="137" t="s">
        <v>8050</v>
      </c>
      <c r="KOO14" s="137" t="s">
        <v>8051</v>
      </c>
      <c r="KOP14" s="137" t="s">
        <v>8052</v>
      </c>
      <c r="KOQ14" s="137" t="s">
        <v>8053</v>
      </c>
      <c r="KOR14" s="137" t="s">
        <v>8054</v>
      </c>
      <c r="KOS14" s="137" t="s">
        <v>8055</v>
      </c>
      <c r="KOT14" s="137" t="s">
        <v>8056</v>
      </c>
      <c r="KOU14" s="137" t="s">
        <v>8057</v>
      </c>
      <c r="KOV14" s="137" t="s">
        <v>8058</v>
      </c>
      <c r="KOW14" s="137" t="s">
        <v>8059</v>
      </c>
      <c r="KOX14" s="137" t="s">
        <v>8060</v>
      </c>
      <c r="KOY14" s="137" t="s">
        <v>8061</v>
      </c>
      <c r="KOZ14" s="137" t="s">
        <v>8062</v>
      </c>
      <c r="KPA14" s="137" t="s">
        <v>8063</v>
      </c>
      <c r="KPB14" s="137" t="s">
        <v>8064</v>
      </c>
      <c r="KPC14" s="137" t="s">
        <v>8065</v>
      </c>
      <c r="KPD14" s="137" t="s">
        <v>8066</v>
      </c>
      <c r="KPE14" s="137" t="s">
        <v>8067</v>
      </c>
      <c r="KPF14" s="137" t="s">
        <v>8068</v>
      </c>
      <c r="KPG14" s="137" t="s">
        <v>8069</v>
      </c>
      <c r="KPH14" s="137" t="s">
        <v>8070</v>
      </c>
      <c r="KPI14" s="137" t="s">
        <v>8071</v>
      </c>
      <c r="KPJ14" s="137" t="s">
        <v>8072</v>
      </c>
      <c r="KPK14" s="137" t="s">
        <v>8073</v>
      </c>
      <c r="KPL14" s="137" t="s">
        <v>8074</v>
      </c>
      <c r="KPM14" s="137" t="s">
        <v>8075</v>
      </c>
      <c r="KPN14" s="137" t="s">
        <v>8076</v>
      </c>
      <c r="KPO14" s="137" t="s">
        <v>8077</v>
      </c>
      <c r="KPP14" s="137" t="s">
        <v>8078</v>
      </c>
      <c r="KPQ14" s="137" t="s">
        <v>8079</v>
      </c>
      <c r="KPR14" s="137" t="s">
        <v>8080</v>
      </c>
      <c r="KPS14" s="137" t="s">
        <v>8081</v>
      </c>
      <c r="KPT14" s="137" t="s">
        <v>8082</v>
      </c>
      <c r="KPU14" s="137" t="s">
        <v>8083</v>
      </c>
      <c r="KPV14" s="137" t="s">
        <v>8084</v>
      </c>
      <c r="KPW14" s="137" t="s">
        <v>8085</v>
      </c>
      <c r="KPX14" s="137" t="s">
        <v>8086</v>
      </c>
      <c r="KPY14" s="137" t="s">
        <v>8087</v>
      </c>
      <c r="KPZ14" s="137" t="s">
        <v>8088</v>
      </c>
      <c r="KQA14" s="137" t="s">
        <v>8089</v>
      </c>
      <c r="KQB14" s="137" t="s">
        <v>8090</v>
      </c>
      <c r="KQC14" s="137" t="s">
        <v>8091</v>
      </c>
      <c r="KQD14" s="137" t="s">
        <v>8092</v>
      </c>
      <c r="KQE14" s="137" t="s">
        <v>8093</v>
      </c>
      <c r="KQF14" s="137" t="s">
        <v>8094</v>
      </c>
      <c r="KQG14" s="137" t="s">
        <v>8095</v>
      </c>
      <c r="KQH14" s="137" t="s">
        <v>8096</v>
      </c>
      <c r="KQI14" s="137" t="s">
        <v>8097</v>
      </c>
      <c r="KQJ14" s="137" t="s">
        <v>8098</v>
      </c>
      <c r="KQK14" s="137" t="s">
        <v>8099</v>
      </c>
      <c r="KQL14" s="137" t="s">
        <v>8100</v>
      </c>
      <c r="KQM14" s="137" t="s">
        <v>8101</v>
      </c>
      <c r="KQN14" s="137" t="s">
        <v>8102</v>
      </c>
      <c r="KQO14" s="137" t="s">
        <v>8103</v>
      </c>
      <c r="KQP14" s="137" t="s">
        <v>8104</v>
      </c>
      <c r="KQQ14" s="137" t="s">
        <v>8105</v>
      </c>
      <c r="KQR14" s="137" t="s">
        <v>8106</v>
      </c>
      <c r="KQS14" s="137" t="s">
        <v>8107</v>
      </c>
      <c r="KQT14" s="137" t="s">
        <v>8108</v>
      </c>
      <c r="KQU14" s="137" t="s">
        <v>8109</v>
      </c>
      <c r="KQV14" s="137" t="s">
        <v>8110</v>
      </c>
      <c r="KQW14" s="137" t="s">
        <v>8111</v>
      </c>
      <c r="KQX14" s="137" t="s">
        <v>8112</v>
      </c>
      <c r="KQY14" s="137" t="s">
        <v>8113</v>
      </c>
      <c r="KQZ14" s="137" t="s">
        <v>8114</v>
      </c>
      <c r="KRA14" s="137" t="s">
        <v>8115</v>
      </c>
      <c r="KRB14" s="137" t="s">
        <v>8116</v>
      </c>
      <c r="KRC14" s="137" t="s">
        <v>8117</v>
      </c>
      <c r="KRD14" s="137" t="s">
        <v>8118</v>
      </c>
      <c r="KRE14" s="137" t="s">
        <v>8119</v>
      </c>
      <c r="KRF14" s="137" t="s">
        <v>8120</v>
      </c>
      <c r="KRG14" s="137" t="s">
        <v>8121</v>
      </c>
      <c r="KRH14" s="137" t="s">
        <v>8122</v>
      </c>
      <c r="KRI14" s="137" t="s">
        <v>8123</v>
      </c>
      <c r="KRJ14" s="137" t="s">
        <v>8124</v>
      </c>
      <c r="KRK14" s="137" t="s">
        <v>8125</v>
      </c>
      <c r="KRL14" s="137" t="s">
        <v>8126</v>
      </c>
      <c r="KRM14" s="137" t="s">
        <v>8127</v>
      </c>
      <c r="KRN14" s="137" t="s">
        <v>8128</v>
      </c>
      <c r="KRO14" s="137" t="s">
        <v>8129</v>
      </c>
      <c r="KRP14" s="137" t="s">
        <v>8130</v>
      </c>
      <c r="KRQ14" s="137" t="s">
        <v>8131</v>
      </c>
      <c r="KRR14" s="137" t="s">
        <v>8132</v>
      </c>
      <c r="KRS14" s="137" t="s">
        <v>8133</v>
      </c>
      <c r="KRT14" s="137" t="s">
        <v>8134</v>
      </c>
      <c r="KRU14" s="137" t="s">
        <v>8135</v>
      </c>
      <c r="KRV14" s="137" t="s">
        <v>8136</v>
      </c>
      <c r="KRW14" s="137" t="s">
        <v>8137</v>
      </c>
      <c r="KRX14" s="137" t="s">
        <v>8138</v>
      </c>
      <c r="KRY14" s="137" t="s">
        <v>8139</v>
      </c>
      <c r="KRZ14" s="137" t="s">
        <v>8140</v>
      </c>
      <c r="KSA14" s="137" t="s">
        <v>8141</v>
      </c>
      <c r="KSB14" s="137" t="s">
        <v>8142</v>
      </c>
      <c r="KSC14" s="137" t="s">
        <v>8143</v>
      </c>
      <c r="KSD14" s="137" t="s">
        <v>8144</v>
      </c>
      <c r="KSE14" s="137" t="s">
        <v>8145</v>
      </c>
      <c r="KSF14" s="137" t="s">
        <v>8146</v>
      </c>
      <c r="KSG14" s="137" t="s">
        <v>8147</v>
      </c>
      <c r="KSH14" s="137" t="s">
        <v>8148</v>
      </c>
      <c r="KSI14" s="137" t="s">
        <v>8149</v>
      </c>
      <c r="KSJ14" s="137" t="s">
        <v>8150</v>
      </c>
      <c r="KSK14" s="137" t="s">
        <v>8151</v>
      </c>
      <c r="KSL14" s="137" t="s">
        <v>8152</v>
      </c>
      <c r="KSM14" s="137" t="s">
        <v>8153</v>
      </c>
      <c r="KSN14" s="137" t="s">
        <v>8154</v>
      </c>
      <c r="KSO14" s="137" t="s">
        <v>8155</v>
      </c>
      <c r="KSP14" s="137" t="s">
        <v>8156</v>
      </c>
      <c r="KSQ14" s="137" t="s">
        <v>8157</v>
      </c>
      <c r="KSR14" s="137" t="s">
        <v>8158</v>
      </c>
      <c r="KSS14" s="137" t="s">
        <v>8159</v>
      </c>
      <c r="KST14" s="137" t="s">
        <v>8160</v>
      </c>
      <c r="KSU14" s="137" t="s">
        <v>8161</v>
      </c>
      <c r="KSV14" s="137" t="s">
        <v>8162</v>
      </c>
      <c r="KSW14" s="137" t="s">
        <v>8163</v>
      </c>
      <c r="KSX14" s="137" t="s">
        <v>8164</v>
      </c>
      <c r="KSY14" s="137" t="s">
        <v>8165</v>
      </c>
      <c r="KSZ14" s="137" t="s">
        <v>8166</v>
      </c>
      <c r="KTA14" s="137" t="s">
        <v>8167</v>
      </c>
      <c r="KTB14" s="137" t="s">
        <v>8168</v>
      </c>
      <c r="KTC14" s="137" t="s">
        <v>8169</v>
      </c>
      <c r="KTD14" s="137" t="s">
        <v>8170</v>
      </c>
      <c r="KTE14" s="137" t="s">
        <v>8171</v>
      </c>
      <c r="KTF14" s="137" t="s">
        <v>8172</v>
      </c>
      <c r="KTG14" s="137" t="s">
        <v>8173</v>
      </c>
      <c r="KTH14" s="137" t="s">
        <v>8174</v>
      </c>
      <c r="KTI14" s="137" t="s">
        <v>8175</v>
      </c>
      <c r="KTJ14" s="137" t="s">
        <v>8176</v>
      </c>
      <c r="KTK14" s="137" t="s">
        <v>8177</v>
      </c>
      <c r="KTL14" s="137" t="s">
        <v>8178</v>
      </c>
      <c r="KTM14" s="137" t="s">
        <v>8179</v>
      </c>
      <c r="KTN14" s="137" t="s">
        <v>8180</v>
      </c>
      <c r="KTO14" s="137" t="s">
        <v>8181</v>
      </c>
      <c r="KTP14" s="137" t="s">
        <v>8182</v>
      </c>
      <c r="KTQ14" s="137" t="s">
        <v>8183</v>
      </c>
      <c r="KTR14" s="137" t="s">
        <v>8184</v>
      </c>
      <c r="KTS14" s="137" t="s">
        <v>8185</v>
      </c>
      <c r="KTT14" s="137" t="s">
        <v>8186</v>
      </c>
      <c r="KTU14" s="137" t="s">
        <v>8187</v>
      </c>
      <c r="KTV14" s="137" t="s">
        <v>8188</v>
      </c>
      <c r="KTW14" s="137" t="s">
        <v>8189</v>
      </c>
      <c r="KTX14" s="137" t="s">
        <v>8190</v>
      </c>
      <c r="KTY14" s="137" t="s">
        <v>8191</v>
      </c>
      <c r="KTZ14" s="137" t="s">
        <v>8192</v>
      </c>
      <c r="KUA14" s="137" t="s">
        <v>8193</v>
      </c>
      <c r="KUB14" s="137" t="s">
        <v>8194</v>
      </c>
      <c r="KUC14" s="137" t="s">
        <v>8195</v>
      </c>
      <c r="KUD14" s="137" t="s">
        <v>8196</v>
      </c>
      <c r="KUE14" s="137" t="s">
        <v>8197</v>
      </c>
      <c r="KUF14" s="137" t="s">
        <v>8198</v>
      </c>
      <c r="KUG14" s="137" t="s">
        <v>8199</v>
      </c>
      <c r="KUH14" s="137" t="s">
        <v>8200</v>
      </c>
      <c r="KUI14" s="137" t="s">
        <v>8201</v>
      </c>
      <c r="KUJ14" s="137" t="s">
        <v>8202</v>
      </c>
      <c r="KUK14" s="137" t="s">
        <v>8203</v>
      </c>
      <c r="KUL14" s="137" t="s">
        <v>8204</v>
      </c>
      <c r="KUM14" s="137" t="s">
        <v>8205</v>
      </c>
      <c r="KUN14" s="137" t="s">
        <v>8206</v>
      </c>
      <c r="KUO14" s="137" t="s">
        <v>8207</v>
      </c>
      <c r="KUP14" s="137" t="s">
        <v>8208</v>
      </c>
      <c r="KUQ14" s="137" t="s">
        <v>8209</v>
      </c>
      <c r="KUR14" s="137" t="s">
        <v>8210</v>
      </c>
      <c r="KUS14" s="137" t="s">
        <v>8211</v>
      </c>
      <c r="KUT14" s="137" t="s">
        <v>8212</v>
      </c>
      <c r="KUU14" s="137" t="s">
        <v>8213</v>
      </c>
      <c r="KUV14" s="137" t="s">
        <v>8214</v>
      </c>
      <c r="KUW14" s="137" t="s">
        <v>8215</v>
      </c>
      <c r="KUX14" s="137" t="s">
        <v>8216</v>
      </c>
      <c r="KUY14" s="137" t="s">
        <v>8217</v>
      </c>
      <c r="KUZ14" s="137" t="s">
        <v>8218</v>
      </c>
      <c r="KVA14" s="137" t="s">
        <v>8219</v>
      </c>
      <c r="KVB14" s="137" t="s">
        <v>8220</v>
      </c>
      <c r="KVC14" s="137" t="s">
        <v>8221</v>
      </c>
      <c r="KVD14" s="137" t="s">
        <v>8222</v>
      </c>
      <c r="KVE14" s="137" t="s">
        <v>8223</v>
      </c>
      <c r="KVF14" s="137" t="s">
        <v>8224</v>
      </c>
      <c r="KVG14" s="137" t="s">
        <v>8225</v>
      </c>
      <c r="KVH14" s="137" t="s">
        <v>8226</v>
      </c>
      <c r="KVI14" s="137" t="s">
        <v>8227</v>
      </c>
      <c r="KVJ14" s="137" t="s">
        <v>8228</v>
      </c>
      <c r="KVK14" s="137" t="s">
        <v>8229</v>
      </c>
      <c r="KVL14" s="137" t="s">
        <v>8230</v>
      </c>
      <c r="KVM14" s="137" t="s">
        <v>8231</v>
      </c>
      <c r="KVN14" s="137" t="s">
        <v>8232</v>
      </c>
      <c r="KVO14" s="137" t="s">
        <v>8233</v>
      </c>
      <c r="KVP14" s="137" t="s">
        <v>8234</v>
      </c>
      <c r="KVQ14" s="137" t="s">
        <v>8235</v>
      </c>
      <c r="KVR14" s="137" t="s">
        <v>8236</v>
      </c>
      <c r="KVS14" s="137" t="s">
        <v>8237</v>
      </c>
      <c r="KVT14" s="137" t="s">
        <v>8238</v>
      </c>
      <c r="KVU14" s="137" t="s">
        <v>8239</v>
      </c>
      <c r="KVV14" s="137" t="s">
        <v>8240</v>
      </c>
      <c r="KVW14" s="137" t="s">
        <v>8241</v>
      </c>
      <c r="KVX14" s="137" t="s">
        <v>8242</v>
      </c>
      <c r="KVY14" s="137" t="s">
        <v>8243</v>
      </c>
      <c r="KVZ14" s="137" t="s">
        <v>8244</v>
      </c>
      <c r="KWA14" s="137" t="s">
        <v>8245</v>
      </c>
      <c r="KWB14" s="137" t="s">
        <v>8246</v>
      </c>
      <c r="KWC14" s="137" t="s">
        <v>8247</v>
      </c>
      <c r="KWD14" s="137" t="s">
        <v>8248</v>
      </c>
      <c r="KWE14" s="137" t="s">
        <v>8249</v>
      </c>
      <c r="KWF14" s="137" t="s">
        <v>8250</v>
      </c>
      <c r="KWG14" s="137" t="s">
        <v>8251</v>
      </c>
      <c r="KWH14" s="137" t="s">
        <v>8252</v>
      </c>
      <c r="KWI14" s="137" t="s">
        <v>8253</v>
      </c>
      <c r="KWJ14" s="137" t="s">
        <v>8254</v>
      </c>
      <c r="KWK14" s="137" t="s">
        <v>8255</v>
      </c>
      <c r="KWL14" s="137" t="s">
        <v>8256</v>
      </c>
      <c r="KWM14" s="137" t="s">
        <v>8257</v>
      </c>
      <c r="KWN14" s="137" t="s">
        <v>8258</v>
      </c>
      <c r="KWO14" s="137" t="s">
        <v>8259</v>
      </c>
      <c r="KWP14" s="137" t="s">
        <v>8260</v>
      </c>
      <c r="KWQ14" s="137" t="s">
        <v>8261</v>
      </c>
      <c r="KWR14" s="137" t="s">
        <v>8262</v>
      </c>
      <c r="KWS14" s="137" t="s">
        <v>8263</v>
      </c>
      <c r="KWT14" s="137" t="s">
        <v>8264</v>
      </c>
      <c r="KWU14" s="137" t="s">
        <v>8265</v>
      </c>
      <c r="KWV14" s="137" t="s">
        <v>8266</v>
      </c>
      <c r="KWW14" s="137" t="s">
        <v>8267</v>
      </c>
      <c r="KWX14" s="137" t="s">
        <v>8268</v>
      </c>
      <c r="KWY14" s="137" t="s">
        <v>8269</v>
      </c>
      <c r="KWZ14" s="137" t="s">
        <v>8270</v>
      </c>
      <c r="KXA14" s="137" t="s">
        <v>8271</v>
      </c>
      <c r="KXB14" s="137" t="s">
        <v>8272</v>
      </c>
      <c r="KXC14" s="137" t="s">
        <v>8273</v>
      </c>
      <c r="KXD14" s="137" t="s">
        <v>8274</v>
      </c>
      <c r="KXE14" s="137" t="s">
        <v>8275</v>
      </c>
      <c r="KXF14" s="137" t="s">
        <v>8276</v>
      </c>
      <c r="KXG14" s="137" t="s">
        <v>8277</v>
      </c>
      <c r="KXH14" s="137" t="s">
        <v>8278</v>
      </c>
      <c r="KXI14" s="137" t="s">
        <v>8279</v>
      </c>
      <c r="KXJ14" s="137" t="s">
        <v>8280</v>
      </c>
      <c r="KXK14" s="137" t="s">
        <v>8281</v>
      </c>
      <c r="KXL14" s="137" t="s">
        <v>8282</v>
      </c>
      <c r="KXM14" s="137" t="s">
        <v>8283</v>
      </c>
      <c r="KXN14" s="137" t="s">
        <v>8284</v>
      </c>
      <c r="KXO14" s="137" t="s">
        <v>8285</v>
      </c>
      <c r="KXP14" s="137" t="s">
        <v>8286</v>
      </c>
      <c r="KXQ14" s="137" t="s">
        <v>8287</v>
      </c>
      <c r="KXR14" s="137" t="s">
        <v>8288</v>
      </c>
      <c r="KXS14" s="137" t="s">
        <v>8289</v>
      </c>
      <c r="KXT14" s="137" t="s">
        <v>8290</v>
      </c>
      <c r="KXU14" s="137" t="s">
        <v>8291</v>
      </c>
      <c r="KXV14" s="137" t="s">
        <v>8292</v>
      </c>
      <c r="KXW14" s="137" t="s">
        <v>8293</v>
      </c>
      <c r="KXX14" s="137" t="s">
        <v>8294</v>
      </c>
      <c r="KXY14" s="137" t="s">
        <v>8295</v>
      </c>
      <c r="KXZ14" s="137" t="s">
        <v>8296</v>
      </c>
      <c r="KYA14" s="137" t="s">
        <v>8297</v>
      </c>
      <c r="KYB14" s="137" t="s">
        <v>8298</v>
      </c>
      <c r="KYC14" s="137" t="s">
        <v>8299</v>
      </c>
      <c r="KYD14" s="137" t="s">
        <v>8300</v>
      </c>
      <c r="KYE14" s="137" t="s">
        <v>8301</v>
      </c>
      <c r="KYF14" s="137" t="s">
        <v>8302</v>
      </c>
      <c r="KYG14" s="137" t="s">
        <v>8303</v>
      </c>
      <c r="KYH14" s="137" t="s">
        <v>8304</v>
      </c>
      <c r="KYI14" s="137" t="s">
        <v>8305</v>
      </c>
      <c r="KYJ14" s="137" t="s">
        <v>8306</v>
      </c>
      <c r="KYK14" s="137" t="s">
        <v>8307</v>
      </c>
      <c r="KYL14" s="137" t="s">
        <v>8308</v>
      </c>
      <c r="KYM14" s="137" t="s">
        <v>8309</v>
      </c>
      <c r="KYN14" s="137" t="s">
        <v>8310</v>
      </c>
      <c r="KYO14" s="137" t="s">
        <v>8311</v>
      </c>
      <c r="KYP14" s="137" t="s">
        <v>8312</v>
      </c>
      <c r="KYQ14" s="137" t="s">
        <v>8313</v>
      </c>
      <c r="KYR14" s="137" t="s">
        <v>8314</v>
      </c>
      <c r="KYS14" s="137" t="s">
        <v>8315</v>
      </c>
      <c r="KYT14" s="137" t="s">
        <v>8316</v>
      </c>
      <c r="KYU14" s="137" t="s">
        <v>8317</v>
      </c>
      <c r="KYV14" s="137" t="s">
        <v>8318</v>
      </c>
      <c r="KYW14" s="137" t="s">
        <v>8319</v>
      </c>
      <c r="KYX14" s="137" t="s">
        <v>8320</v>
      </c>
      <c r="KYY14" s="137" t="s">
        <v>8321</v>
      </c>
      <c r="KYZ14" s="137" t="s">
        <v>8322</v>
      </c>
      <c r="KZA14" s="137" t="s">
        <v>8323</v>
      </c>
      <c r="KZB14" s="137" t="s">
        <v>8324</v>
      </c>
      <c r="KZC14" s="137" t="s">
        <v>8325</v>
      </c>
      <c r="KZD14" s="137" t="s">
        <v>8326</v>
      </c>
      <c r="KZE14" s="137" t="s">
        <v>8327</v>
      </c>
      <c r="KZF14" s="137" t="s">
        <v>8328</v>
      </c>
      <c r="KZG14" s="137" t="s">
        <v>8329</v>
      </c>
      <c r="KZH14" s="137" t="s">
        <v>8330</v>
      </c>
      <c r="KZI14" s="137" t="s">
        <v>8331</v>
      </c>
      <c r="KZJ14" s="137" t="s">
        <v>8332</v>
      </c>
      <c r="KZK14" s="137" t="s">
        <v>8333</v>
      </c>
      <c r="KZL14" s="137" t="s">
        <v>8334</v>
      </c>
      <c r="KZM14" s="137" t="s">
        <v>8335</v>
      </c>
      <c r="KZN14" s="137" t="s">
        <v>8336</v>
      </c>
      <c r="KZO14" s="137" t="s">
        <v>8337</v>
      </c>
      <c r="KZP14" s="137" t="s">
        <v>8338</v>
      </c>
      <c r="KZQ14" s="137" t="s">
        <v>8339</v>
      </c>
      <c r="KZR14" s="137" t="s">
        <v>8340</v>
      </c>
      <c r="KZS14" s="137" t="s">
        <v>8341</v>
      </c>
      <c r="KZT14" s="137" t="s">
        <v>8342</v>
      </c>
      <c r="KZU14" s="137" t="s">
        <v>8343</v>
      </c>
      <c r="KZV14" s="137" t="s">
        <v>8344</v>
      </c>
      <c r="KZW14" s="137" t="s">
        <v>8345</v>
      </c>
      <c r="KZX14" s="137" t="s">
        <v>8346</v>
      </c>
      <c r="KZY14" s="137" t="s">
        <v>8347</v>
      </c>
      <c r="KZZ14" s="137" t="s">
        <v>8348</v>
      </c>
      <c r="LAA14" s="137" t="s">
        <v>8349</v>
      </c>
      <c r="LAB14" s="137" t="s">
        <v>8350</v>
      </c>
      <c r="LAC14" s="137" t="s">
        <v>8351</v>
      </c>
      <c r="LAD14" s="137" t="s">
        <v>8352</v>
      </c>
      <c r="LAE14" s="137" t="s">
        <v>8353</v>
      </c>
      <c r="LAF14" s="137" t="s">
        <v>8354</v>
      </c>
      <c r="LAG14" s="137" t="s">
        <v>8355</v>
      </c>
      <c r="LAH14" s="137" t="s">
        <v>8356</v>
      </c>
      <c r="LAI14" s="137" t="s">
        <v>8357</v>
      </c>
      <c r="LAJ14" s="137" t="s">
        <v>8358</v>
      </c>
      <c r="LAK14" s="137" t="s">
        <v>8359</v>
      </c>
      <c r="LAL14" s="137" t="s">
        <v>8360</v>
      </c>
      <c r="LAM14" s="137" t="s">
        <v>8361</v>
      </c>
      <c r="LAN14" s="137" t="s">
        <v>8362</v>
      </c>
      <c r="LAO14" s="137" t="s">
        <v>8363</v>
      </c>
      <c r="LAP14" s="137" t="s">
        <v>8364</v>
      </c>
      <c r="LAQ14" s="137" t="s">
        <v>8365</v>
      </c>
      <c r="LAR14" s="137" t="s">
        <v>8366</v>
      </c>
      <c r="LAS14" s="137" t="s">
        <v>8367</v>
      </c>
      <c r="LAT14" s="137" t="s">
        <v>8368</v>
      </c>
      <c r="LAU14" s="137" t="s">
        <v>8369</v>
      </c>
      <c r="LAV14" s="137" t="s">
        <v>8370</v>
      </c>
      <c r="LAW14" s="137" t="s">
        <v>8371</v>
      </c>
      <c r="LAX14" s="137" t="s">
        <v>8372</v>
      </c>
      <c r="LAY14" s="137" t="s">
        <v>8373</v>
      </c>
      <c r="LAZ14" s="137" t="s">
        <v>8374</v>
      </c>
      <c r="LBA14" s="137" t="s">
        <v>8375</v>
      </c>
      <c r="LBB14" s="137" t="s">
        <v>8376</v>
      </c>
      <c r="LBC14" s="137" t="s">
        <v>8377</v>
      </c>
      <c r="LBD14" s="137" t="s">
        <v>8378</v>
      </c>
      <c r="LBE14" s="137" t="s">
        <v>8379</v>
      </c>
      <c r="LBF14" s="137" t="s">
        <v>8380</v>
      </c>
      <c r="LBG14" s="137" t="s">
        <v>8381</v>
      </c>
      <c r="LBH14" s="137" t="s">
        <v>8382</v>
      </c>
      <c r="LBI14" s="137" t="s">
        <v>8383</v>
      </c>
      <c r="LBJ14" s="137" t="s">
        <v>8384</v>
      </c>
      <c r="LBK14" s="137" t="s">
        <v>8385</v>
      </c>
      <c r="LBL14" s="137" t="s">
        <v>8386</v>
      </c>
      <c r="LBM14" s="137" t="s">
        <v>8387</v>
      </c>
      <c r="LBN14" s="137" t="s">
        <v>8388</v>
      </c>
      <c r="LBO14" s="137" t="s">
        <v>8389</v>
      </c>
      <c r="LBP14" s="137" t="s">
        <v>8390</v>
      </c>
      <c r="LBQ14" s="137" t="s">
        <v>8391</v>
      </c>
      <c r="LBR14" s="137" t="s">
        <v>8392</v>
      </c>
      <c r="LBS14" s="137" t="s">
        <v>8393</v>
      </c>
      <c r="LBT14" s="137" t="s">
        <v>8394</v>
      </c>
      <c r="LBU14" s="137" t="s">
        <v>8395</v>
      </c>
      <c r="LBV14" s="137" t="s">
        <v>8396</v>
      </c>
      <c r="LBW14" s="137" t="s">
        <v>8397</v>
      </c>
      <c r="LBX14" s="137" t="s">
        <v>8398</v>
      </c>
      <c r="LBY14" s="137" t="s">
        <v>8399</v>
      </c>
      <c r="LBZ14" s="137" t="s">
        <v>8400</v>
      </c>
      <c r="LCA14" s="137" t="s">
        <v>8401</v>
      </c>
      <c r="LCB14" s="137" t="s">
        <v>8402</v>
      </c>
      <c r="LCC14" s="137" t="s">
        <v>8403</v>
      </c>
      <c r="LCD14" s="137" t="s">
        <v>8404</v>
      </c>
      <c r="LCE14" s="137" t="s">
        <v>8405</v>
      </c>
      <c r="LCF14" s="137" t="s">
        <v>8406</v>
      </c>
      <c r="LCG14" s="137" t="s">
        <v>8407</v>
      </c>
      <c r="LCH14" s="137" t="s">
        <v>8408</v>
      </c>
      <c r="LCI14" s="137" t="s">
        <v>8409</v>
      </c>
      <c r="LCJ14" s="137" t="s">
        <v>8410</v>
      </c>
      <c r="LCK14" s="137" t="s">
        <v>8411</v>
      </c>
      <c r="LCL14" s="137" t="s">
        <v>8412</v>
      </c>
      <c r="LCM14" s="137" t="s">
        <v>8413</v>
      </c>
      <c r="LCN14" s="137" t="s">
        <v>8414</v>
      </c>
      <c r="LCO14" s="137" t="s">
        <v>8415</v>
      </c>
      <c r="LCP14" s="137" t="s">
        <v>8416</v>
      </c>
      <c r="LCQ14" s="137" t="s">
        <v>8417</v>
      </c>
      <c r="LCR14" s="137" t="s">
        <v>8418</v>
      </c>
      <c r="LCS14" s="137" t="s">
        <v>8419</v>
      </c>
      <c r="LCT14" s="137" t="s">
        <v>8420</v>
      </c>
      <c r="LCU14" s="137" t="s">
        <v>8421</v>
      </c>
      <c r="LCV14" s="137" t="s">
        <v>8422</v>
      </c>
      <c r="LCW14" s="137" t="s">
        <v>8423</v>
      </c>
      <c r="LCX14" s="137" t="s">
        <v>8424</v>
      </c>
      <c r="LCY14" s="137" t="s">
        <v>8425</v>
      </c>
      <c r="LCZ14" s="137" t="s">
        <v>8426</v>
      </c>
      <c r="LDA14" s="137" t="s">
        <v>8427</v>
      </c>
      <c r="LDB14" s="137" t="s">
        <v>8428</v>
      </c>
      <c r="LDC14" s="137" t="s">
        <v>8429</v>
      </c>
      <c r="LDD14" s="137" t="s">
        <v>8430</v>
      </c>
      <c r="LDE14" s="137" t="s">
        <v>8431</v>
      </c>
      <c r="LDF14" s="137" t="s">
        <v>8432</v>
      </c>
      <c r="LDG14" s="137" t="s">
        <v>8433</v>
      </c>
      <c r="LDH14" s="137" t="s">
        <v>8434</v>
      </c>
      <c r="LDI14" s="137" t="s">
        <v>8435</v>
      </c>
      <c r="LDJ14" s="137" t="s">
        <v>8436</v>
      </c>
      <c r="LDK14" s="137" t="s">
        <v>8437</v>
      </c>
      <c r="LDL14" s="137" t="s">
        <v>8438</v>
      </c>
      <c r="LDM14" s="137" t="s">
        <v>8439</v>
      </c>
      <c r="LDN14" s="137" t="s">
        <v>8440</v>
      </c>
      <c r="LDO14" s="137" t="s">
        <v>8441</v>
      </c>
      <c r="LDP14" s="137" t="s">
        <v>8442</v>
      </c>
      <c r="LDQ14" s="137" t="s">
        <v>8443</v>
      </c>
      <c r="LDR14" s="137" t="s">
        <v>8444</v>
      </c>
      <c r="LDS14" s="137" t="s">
        <v>8445</v>
      </c>
      <c r="LDT14" s="137" t="s">
        <v>8446</v>
      </c>
      <c r="LDU14" s="137" t="s">
        <v>8447</v>
      </c>
      <c r="LDV14" s="137" t="s">
        <v>8448</v>
      </c>
      <c r="LDW14" s="137" t="s">
        <v>8449</v>
      </c>
      <c r="LDX14" s="137" t="s">
        <v>8450</v>
      </c>
      <c r="LDY14" s="137" t="s">
        <v>8451</v>
      </c>
      <c r="LDZ14" s="137" t="s">
        <v>8452</v>
      </c>
      <c r="LEA14" s="137" t="s">
        <v>8453</v>
      </c>
      <c r="LEB14" s="137" t="s">
        <v>8454</v>
      </c>
      <c r="LEC14" s="137" t="s">
        <v>8455</v>
      </c>
      <c r="LED14" s="137" t="s">
        <v>8456</v>
      </c>
      <c r="LEE14" s="137" t="s">
        <v>8457</v>
      </c>
      <c r="LEF14" s="137" t="s">
        <v>8458</v>
      </c>
      <c r="LEG14" s="137" t="s">
        <v>8459</v>
      </c>
      <c r="LEH14" s="137" t="s">
        <v>8460</v>
      </c>
      <c r="LEI14" s="137" t="s">
        <v>8461</v>
      </c>
      <c r="LEJ14" s="137" t="s">
        <v>8462</v>
      </c>
      <c r="LEK14" s="137" t="s">
        <v>8463</v>
      </c>
      <c r="LEL14" s="137" t="s">
        <v>8464</v>
      </c>
      <c r="LEM14" s="137" t="s">
        <v>8465</v>
      </c>
      <c r="LEN14" s="137" t="s">
        <v>8466</v>
      </c>
      <c r="LEO14" s="137" t="s">
        <v>8467</v>
      </c>
      <c r="LEP14" s="137" t="s">
        <v>8468</v>
      </c>
      <c r="LEQ14" s="137" t="s">
        <v>8469</v>
      </c>
      <c r="LER14" s="137" t="s">
        <v>8470</v>
      </c>
      <c r="LES14" s="137" t="s">
        <v>8471</v>
      </c>
      <c r="LET14" s="137" t="s">
        <v>8472</v>
      </c>
      <c r="LEU14" s="137" t="s">
        <v>8473</v>
      </c>
      <c r="LEV14" s="137" t="s">
        <v>8474</v>
      </c>
      <c r="LEW14" s="137" t="s">
        <v>8475</v>
      </c>
      <c r="LEX14" s="137" t="s">
        <v>8476</v>
      </c>
      <c r="LEY14" s="137" t="s">
        <v>8477</v>
      </c>
      <c r="LEZ14" s="137" t="s">
        <v>8478</v>
      </c>
      <c r="LFA14" s="137" t="s">
        <v>8479</v>
      </c>
      <c r="LFB14" s="137" t="s">
        <v>8480</v>
      </c>
      <c r="LFC14" s="137" t="s">
        <v>8481</v>
      </c>
      <c r="LFD14" s="137" t="s">
        <v>8482</v>
      </c>
      <c r="LFE14" s="137" t="s">
        <v>8483</v>
      </c>
      <c r="LFF14" s="137" t="s">
        <v>8484</v>
      </c>
      <c r="LFG14" s="137" t="s">
        <v>8485</v>
      </c>
      <c r="LFH14" s="137" t="s">
        <v>8486</v>
      </c>
      <c r="LFI14" s="137" t="s">
        <v>8487</v>
      </c>
      <c r="LFJ14" s="137" t="s">
        <v>8488</v>
      </c>
      <c r="LFK14" s="137" t="s">
        <v>8489</v>
      </c>
      <c r="LFL14" s="137" t="s">
        <v>8490</v>
      </c>
      <c r="LFM14" s="137" t="s">
        <v>8491</v>
      </c>
      <c r="LFN14" s="137" t="s">
        <v>8492</v>
      </c>
      <c r="LFO14" s="137" t="s">
        <v>8493</v>
      </c>
      <c r="LFP14" s="137" t="s">
        <v>8494</v>
      </c>
      <c r="LFQ14" s="137" t="s">
        <v>8495</v>
      </c>
      <c r="LFR14" s="137" t="s">
        <v>8496</v>
      </c>
      <c r="LFS14" s="137" t="s">
        <v>8497</v>
      </c>
      <c r="LFT14" s="137" t="s">
        <v>8498</v>
      </c>
      <c r="LFU14" s="137" t="s">
        <v>8499</v>
      </c>
      <c r="LFV14" s="137" t="s">
        <v>8500</v>
      </c>
      <c r="LFW14" s="137" t="s">
        <v>8501</v>
      </c>
      <c r="LFX14" s="137" t="s">
        <v>8502</v>
      </c>
      <c r="LFY14" s="137" t="s">
        <v>8503</v>
      </c>
      <c r="LFZ14" s="137" t="s">
        <v>8504</v>
      </c>
      <c r="LGA14" s="137" t="s">
        <v>8505</v>
      </c>
      <c r="LGB14" s="137" t="s">
        <v>8506</v>
      </c>
      <c r="LGC14" s="137" t="s">
        <v>8507</v>
      </c>
      <c r="LGD14" s="137" t="s">
        <v>8508</v>
      </c>
      <c r="LGE14" s="137" t="s">
        <v>8509</v>
      </c>
      <c r="LGF14" s="137" t="s">
        <v>8510</v>
      </c>
      <c r="LGG14" s="137" t="s">
        <v>8511</v>
      </c>
      <c r="LGH14" s="137" t="s">
        <v>8512</v>
      </c>
      <c r="LGI14" s="137" t="s">
        <v>8513</v>
      </c>
      <c r="LGJ14" s="137" t="s">
        <v>8514</v>
      </c>
      <c r="LGK14" s="137" t="s">
        <v>8515</v>
      </c>
      <c r="LGL14" s="137" t="s">
        <v>8516</v>
      </c>
      <c r="LGM14" s="137" t="s">
        <v>8517</v>
      </c>
      <c r="LGN14" s="137" t="s">
        <v>8518</v>
      </c>
      <c r="LGO14" s="137" t="s">
        <v>8519</v>
      </c>
      <c r="LGP14" s="137" t="s">
        <v>8520</v>
      </c>
      <c r="LGQ14" s="137" t="s">
        <v>8521</v>
      </c>
      <c r="LGR14" s="137" t="s">
        <v>8522</v>
      </c>
      <c r="LGS14" s="137" t="s">
        <v>8523</v>
      </c>
      <c r="LGT14" s="137" t="s">
        <v>8524</v>
      </c>
      <c r="LGU14" s="137" t="s">
        <v>8525</v>
      </c>
      <c r="LGV14" s="137" t="s">
        <v>8526</v>
      </c>
      <c r="LGW14" s="137" t="s">
        <v>8527</v>
      </c>
      <c r="LGX14" s="137" t="s">
        <v>8528</v>
      </c>
      <c r="LGY14" s="137" t="s">
        <v>8529</v>
      </c>
      <c r="LGZ14" s="137" t="s">
        <v>8530</v>
      </c>
      <c r="LHA14" s="137" t="s">
        <v>8531</v>
      </c>
      <c r="LHB14" s="137" t="s">
        <v>8532</v>
      </c>
      <c r="LHC14" s="137" t="s">
        <v>8533</v>
      </c>
      <c r="LHD14" s="137" t="s">
        <v>8534</v>
      </c>
      <c r="LHE14" s="137" t="s">
        <v>8535</v>
      </c>
      <c r="LHF14" s="137" t="s">
        <v>8536</v>
      </c>
      <c r="LHG14" s="137" t="s">
        <v>8537</v>
      </c>
      <c r="LHH14" s="137" t="s">
        <v>8538</v>
      </c>
      <c r="LHI14" s="137" t="s">
        <v>8539</v>
      </c>
      <c r="LHJ14" s="137" t="s">
        <v>8540</v>
      </c>
      <c r="LHK14" s="137" t="s">
        <v>8541</v>
      </c>
      <c r="LHL14" s="137" t="s">
        <v>8542</v>
      </c>
      <c r="LHM14" s="137" t="s">
        <v>8543</v>
      </c>
      <c r="LHN14" s="137" t="s">
        <v>8544</v>
      </c>
      <c r="LHO14" s="137" t="s">
        <v>8545</v>
      </c>
      <c r="LHP14" s="137" t="s">
        <v>8546</v>
      </c>
      <c r="LHQ14" s="137" t="s">
        <v>8547</v>
      </c>
      <c r="LHR14" s="137" t="s">
        <v>8548</v>
      </c>
      <c r="LHS14" s="137" t="s">
        <v>8549</v>
      </c>
      <c r="LHT14" s="137" t="s">
        <v>8550</v>
      </c>
      <c r="LHU14" s="137" t="s">
        <v>8551</v>
      </c>
      <c r="LHV14" s="137" t="s">
        <v>8552</v>
      </c>
      <c r="LHW14" s="137" t="s">
        <v>8553</v>
      </c>
      <c r="LHX14" s="137" t="s">
        <v>8554</v>
      </c>
      <c r="LHY14" s="137" t="s">
        <v>8555</v>
      </c>
      <c r="LHZ14" s="137" t="s">
        <v>8556</v>
      </c>
      <c r="LIA14" s="137" t="s">
        <v>8557</v>
      </c>
      <c r="LIB14" s="137" t="s">
        <v>8558</v>
      </c>
      <c r="LIC14" s="137" t="s">
        <v>8559</v>
      </c>
      <c r="LID14" s="137" t="s">
        <v>8560</v>
      </c>
      <c r="LIE14" s="137" t="s">
        <v>8561</v>
      </c>
      <c r="LIF14" s="137" t="s">
        <v>8562</v>
      </c>
      <c r="LIG14" s="137" t="s">
        <v>8563</v>
      </c>
      <c r="LIH14" s="137" t="s">
        <v>8564</v>
      </c>
      <c r="LII14" s="137" t="s">
        <v>8565</v>
      </c>
      <c r="LIJ14" s="137" t="s">
        <v>8566</v>
      </c>
      <c r="LIK14" s="137" t="s">
        <v>8567</v>
      </c>
      <c r="LIL14" s="137" t="s">
        <v>8568</v>
      </c>
      <c r="LIM14" s="137" t="s">
        <v>8569</v>
      </c>
      <c r="LIN14" s="137" t="s">
        <v>8570</v>
      </c>
      <c r="LIO14" s="137" t="s">
        <v>8571</v>
      </c>
      <c r="LIP14" s="137" t="s">
        <v>8572</v>
      </c>
      <c r="LIQ14" s="137" t="s">
        <v>8573</v>
      </c>
      <c r="LIR14" s="137" t="s">
        <v>8574</v>
      </c>
      <c r="LIS14" s="137" t="s">
        <v>8575</v>
      </c>
      <c r="LIT14" s="137" t="s">
        <v>8576</v>
      </c>
      <c r="LIU14" s="137" t="s">
        <v>8577</v>
      </c>
      <c r="LIV14" s="137" t="s">
        <v>8578</v>
      </c>
      <c r="LIW14" s="137" t="s">
        <v>8579</v>
      </c>
      <c r="LIX14" s="137" t="s">
        <v>8580</v>
      </c>
      <c r="LIY14" s="137" t="s">
        <v>8581</v>
      </c>
      <c r="LIZ14" s="137" t="s">
        <v>8582</v>
      </c>
      <c r="LJA14" s="137" t="s">
        <v>8583</v>
      </c>
      <c r="LJB14" s="137" t="s">
        <v>8584</v>
      </c>
      <c r="LJC14" s="137" t="s">
        <v>8585</v>
      </c>
      <c r="LJD14" s="137" t="s">
        <v>8586</v>
      </c>
      <c r="LJE14" s="137" t="s">
        <v>8587</v>
      </c>
      <c r="LJF14" s="137" t="s">
        <v>8588</v>
      </c>
      <c r="LJG14" s="137" t="s">
        <v>8589</v>
      </c>
      <c r="LJH14" s="137" t="s">
        <v>8590</v>
      </c>
      <c r="LJI14" s="137" t="s">
        <v>8591</v>
      </c>
      <c r="LJJ14" s="137" t="s">
        <v>8592</v>
      </c>
      <c r="LJK14" s="137" t="s">
        <v>8593</v>
      </c>
      <c r="LJL14" s="137" t="s">
        <v>8594</v>
      </c>
      <c r="LJM14" s="137" t="s">
        <v>8595</v>
      </c>
      <c r="LJN14" s="137" t="s">
        <v>8596</v>
      </c>
      <c r="LJO14" s="137" t="s">
        <v>8597</v>
      </c>
      <c r="LJP14" s="137" t="s">
        <v>8598</v>
      </c>
      <c r="LJQ14" s="137" t="s">
        <v>8599</v>
      </c>
      <c r="LJR14" s="137" t="s">
        <v>8600</v>
      </c>
      <c r="LJS14" s="137" t="s">
        <v>8601</v>
      </c>
      <c r="LJT14" s="137" t="s">
        <v>8602</v>
      </c>
      <c r="LJU14" s="137" t="s">
        <v>8603</v>
      </c>
      <c r="LJV14" s="137" t="s">
        <v>8604</v>
      </c>
      <c r="LJW14" s="137" t="s">
        <v>8605</v>
      </c>
      <c r="LJX14" s="137" t="s">
        <v>8606</v>
      </c>
      <c r="LJY14" s="137" t="s">
        <v>8607</v>
      </c>
      <c r="LJZ14" s="137" t="s">
        <v>8608</v>
      </c>
      <c r="LKA14" s="137" t="s">
        <v>8609</v>
      </c>
      <c r="LKB14" s="137" t="s">
        <v>8610</v>
      </c>
      <c r="LKC14" s="137" t="s">
        <v>8611</v>
      </c>
      <c r="LKD14" s="137" t="s">
        <v>8612</v>
      </c>
      <c r="LKE14" s="137" t="s">
        <v>8613</v>
      </c>
      <c r="LKF14" s="137" t="s">
        <v>8614</v>
      </c>
      <c r="LKG14" s="137" t="s">
        <v>8615</v>
      </c>
      <c r="LKH14" s="137" t="s">
        <v>8616</v>
      </c>
      <c r="LKI14" s="137" t="s">
        <v>8617</v>
      </c>
      <c r="LKJ14" s="137" t="s">
        <v>8618</v>
      </c>
      <c r="LKK14" s="137" t="s">
        <v>8619</v>
      </c>
      <c r="LKL14" s="137" t="s">
        <v>8620</v>
      </c>
      <c r="LKM14" s="137" t="s">
        <v>8621</v>
      </c>
      <c r="LKN14" s="137" t="s">
        <v>8622</v>
      </c>
      <c r="LKO14" s="137" t="s">
        <v>8623</v>
      </c>
      <c r="LKP14" s="137" t="s">
        <v>8624</v>
      </c>
      <c r="LKQ14" s="137" t="s">
        <v>8625</v>
      </c>
      <c r="LKR14" s="137" t="s">
        <v>8626</v>
      </c>
      <c r="LKS14" s="137" t="s">
        <v>8627</v>
      </c>
      <c r="LKT14" s="137" t="s">
        <v>8628</v>
      </c>
      <c r="LKU14" s="137" t="s">
        <v>8629</v>
      </c>
      <c r="LKV14" s="137" t="s">
        <v>8630</v>
      </c>
      <c r="LKW14" s="137" t="s">
        <v>8631</v>
      </c>
      <c r="LKX14" s="137" t="s">
        <v>8632</v>
      </c>
      <c r="LKY14" s="137" t="s">
        <v>8633</v>
      </c>
      <c r="LKZ14" s="137" t="s">
        <v>8634</v>
      </c>
      <c r="LLA14" s="137" t="s">
        <v>8635</v>
      </c>
      <c r="LLB14" s="137" t="s">
        <v>8636</v>
      </c>
      <c r="LLC14" s="137" t="s">
        <v>8637</v>
      </c>
      <c r="LLD14" s="137" t="s">
        <v>8638</v>
      </c>
      <c r="LLE14" s="137" t="s">
        <v>8639</v>
      </c>
      <c r="LLF14" s="137" t="s">
        <v>8640</v>
      </c>
      <c r="LLG14" s="137" t="s">
        <v>8641</v>
      </c>
      <c r="LLH14" s="137" t="s">
        <v>8642</v>
      </c>
      <c r="LLI14" s="137" t="s">
        <v>8643</v>
      </c>
      <c r="LLJ14" s="137" t="s">
        <v>8644</v>
      </c>
      <c r="LLK14" s="137" t="s">
        <v>8645</v>
      </c>
      <c r="LLL14" s="137" t="s">
        <v>8646</v>
      </c>
      <c r="LLM14" s="137" t="s">
        <v>8647</v>
      </c>
      <c r="LLN14" s="137" t="s">
        <v>8648</v>
      </c>
      <c r="LLO14" s="137" t="s">
        <v>8649</v>
      </c>
      <c r="LLP14" s="137" t="s">
        <v>8650</v>
      </c>
      <c r="LLQ14" s="137" t="s">
        <v>8651</v>
      </c>
      <c r="LLR14" s="137" t="s">
        <v>8652</v>
      </c>
      <c r="LLS14" s="137" t="s">
        <v>8653</v>
      </c>
      <c r="LLT14" s="137" t="s">
        <v>8654</v>
      </c>
      <c r="LLU14" s="137" t="s">
        <v>8655</v>
      </c>
      <c r="LLV14" s="137" t="s">
        <v>8656</v>
      </c>
      <c r="LLW14" s="137" t="s">
        <v>8657</v>
      </c>
      <c r="LLX14" s="137" t="s">
        <v>8658</v>
      </c>
      <c r="LLY14" s="137" t="s">
        <v>8659</v>
      </c>
      <c r="LLZ14" s="137" t="s">
        <v>8660</v>
      </c>
      <c r="LMA14" s="137" t="s">
        <v>8661</v>
      </c>
      <c r="LMB14" s="137" t="s">
        <v>8662</v>
      </c>
      <c r="LMC14" s="137" t="s">
        <v>8663</v>
      </c>
      <c r="LMD14" s="137" t="s">
        <v>8664</v>
      </c>
      <c r="LME14" s="137" t="s">
        <v>8665</v>
      </c>
      <c r="LMF14" s="137" t="s">
        <v>8666</v>
      </c>
      <c r="LMG14" s="137" t="s">
        <v>8667</v>
      </c>
      <c r="LMH14" s="137" t="s">
        <v>8668</v>
      </c>
      <c r="LMI14" s="137" t="s">
        <v>8669</v>
      </c>
      <c r="LMJ14" s="137" t="s">
        <v>8670</v>
      </c>
      <c r="LMK14" s="137" t="s">
        <v>8671</v>
      </c>
      <c r="LML14" s="137" t="s">
        <v>8672</v>
      </c>
      <c r="LMM14" s="137" t="s">
        <v>8673</v>
      </c>
      <c r="LMN14" s="137" t="s">
        <v>8674</v>
      </c>
      <c r="LMO14" s="137" t="s">
        <v>8675</v>
      </c>
      <c r="LMP14" s="137" t="s">
        <v>8676</v>
      </c>
      <c r="LMQ14" s="137" t="s">
        <v>8677</v>
      </c>
      <c r="LMR14" s="137" t="s">
        <v>8678</v>
      </c>
      <c r="LMS14" s="137" t="s">
        <v>8679</v>
      </c>
      <c r="LMT14" s="137" t="s">
        <v>8680</v>
      </c>
      <c r="LMU14" s="137" t="s">
        <v>8681</v>
      </c>
      <c r="LMV14" s="137" t="s">
        <v>8682</v>
      </c>
      <c r="LMW14" s="137" t="s">
        <v>8683</v>
      </c>
      <c r="LMX14" s="137" t="s">
        <v>8684</v>
      </c>
      <c r="LMY14" s="137" t="s">
        <v>8685</v>
      </c>
      <c r="LMZ14" s="137" t="s">
        <v>8686</v>
      </c>
      <c r="LNA14" s="137" t="s">
        <v>8687</v>
      </c>
      <c r="LNB14" s="137" t="s">
        <v>8688</v>
      </c>
      <c r="LNC14" s="137" t="s">
        <v>8689</v>
      </c>
      <c r="LND14" s="137" t="s">
        <v>8690</v>
      </c>
      <c r="LNE14" s="137" t="s">
        <v>8691</v>
      </c>
      <c r="LNF14" s="137" t="s">
        <v>8692</v>
      </c>
      <c r="LNG14" s="137" t="s">
        <v>8693</v>
      </c>
      <c r="LNH14" s="137" t="s">
        <v>8694</v>
      </c>
      <c r="LNI14" s="137" t="s">
        <v>8695</v>
      </c>
      <c r="LNJ14" s="137" t="s">
        <v>8696</v>
      </c>
      <c r="LNK14" s="137" t="s">
        <v>8697</v>
      </c>
      <c r="LNL14" s="137" t="s">
        <v>8698</v>
      </c>
      <c r="LNM14" s="137" t="s">
        <v>8699</v>
      </c>
      <c r="LNN14" s="137" t="s">
        <v>8700</v>
      </c>
      <c r="LNO14" s="137" t="s">
        <v>8701</v>
      </c>
      <c r="LNP14" s="137" t="s">
        <v>8702</v>
      </c>
      <c r="LNQ14" s="137" t="s">
        <v>8703</v>
      </c>
      <c r="LNR14" s="137" t="s">
        <v>8704</v>
      </c>
      <c r="LNS14" s="137" t="s">
        <v>8705</v>
      </c>
      <c r="LNT14" s="137" t="s">
        <v>8706</v>
      </c>
      <c r="LNU14" s="137" t="s">
        <v>8707</v>
      </c>
      <c r="LNV14" s="137" t="s">
        <v>8708</v>
      </c>
      <c r="LNW14" s="137" t="s">
        <v>8709</v>
      </c>
      <c r="LNX14" s="137" t="s">
        <v>8710</v>
      </c>
      <c r="LNY14" s="137" t="s">
        <v>8711</v>
      </c>
      <c r="LNZ14" s="137" t="s">
        <v>8712</v>
      </c>
      <c r="LOA14" s="137" t="s">
        <v>8713</v>
      </c>
      <c r="LOB14" s="137" t="s">
        <v>8714</v>
      </c>
      <c r="LOC14" s="137" t="s">
        <v>8715</v>
      </c>
      <c r="LOD14" s="137" t="s">
        <v>8716</v>
      </c>
      <c r="LOE14" s="137" t="s">
        <v>8717</v>
      </c>
      <c r="LOF14" s="137" t="s">
        <v>8718</v>
      </c>
      <c r="LOG14" s="137" t="s">
        <v>8719</v>
      </c>
      <c r="LOH14" s="137" t="s">
        <v>8720</v>
      </c>
      <c r="LOI14" s="137" t="s">
        <v>8721</v>
      </c>
      <c r="LOJ14" s="137" t="s">
        <v>8722</v>
      </c>
      <c r="LOK14" s="137" t="s">
        <v>8723</v>
      </c>
      <c r="LOL14" s="137" t="s">
        <v>8724</v>
      </c>
      <c r="LOM14" s="137" t="s">
        <v>8725</v>
      </c>
      <c r="LON14" s="137" t="s">
        <v>8726</v>
      </c>
      <c r="LOO14" s="137" t="s">
        <v>8727</v>
      </c>
      <c r="LOP14" s="137" t="s">
        <v>8728</v>
      </c>
      <c r="LOQ14" s="137" t="s">
        <v>8729</v>
      </c>
      <c r="LOR14" s="137" t="s">
        <v>8730</v>
      </c>
      <c r="LOS14" s="137" t="s">
        <v>8731</v>
      </c>
      <c r="LOT14" s="137" t="s">
        <v>8732</v>
      </c>
      <c r="LOU14" s="137" t="s">
        <v>8733</v>
      </c>
      <c r="LOV14" s="137" t="s">
        <v>8734</v>
      </c>
      <c r="LOW14" s="137" t="s">
        <v>8735</v>
      </c>
      <c r="LOX14" s="137" t="s">
        <v>8736</v>
      </c>
      <c r="LOY14" s="137" t="s">
        <v>8737</v>
      </c>
      <c r="LOZ14" s="137" t="s">
        <v>8738</v>
      </c>
      <c r="LPA14" s="137" t="s">
        <v>8739</v>
      </c>
      <c r="LPB14" s="137" t="s">
        <v>8740</v>
      </c>
      <c r="LPC14" s="137" t="s">
        <v>8741</v>
      </c>
      <c r="LPD14" s="137" t="s">
        <v>8742</v>
      </c>
      <c r="LPE14" s="137" t="s">
        <v>8743</v>
      </c>
      <c r="LPF14" s="137" t="s">
        <v>8744</v>
      </c>
      <c r="LPG14" s="137" t="s">
        <v>8745</v>
      </c>
      <c r="LPH14" s="137" t="s">
        <v>8746</v>
      </c>
      <c r="LPI14" s="137" t="s">
        <v>8747</v>
      </c>
      <c r="LPJ14" s="137" t="s">
        <v>8748</v>
      </c>
      <c r="LPK14" s="137" t="s">
        <v>8749</v>
      </c>
      <c r="LPL14" s="137" t="s">
        <v>8750</v>
      </c>
      <c r="LPM14" s="137" t="s">
        <v>8751</v>
      </c>
      <c r="LPN14" s="137" t="s">
        <v>8752</v>
      </c>
      <c r="LPO14" s="137" t="s">
        <v>8753</v>
      </c>
      <c r="LPP14" s="137" t="s">
        <v>8754</v>
      </c>
      <c r="LPQ14" s="137" t="s">
        <v>8755</v>
      </c>
      <c r="LPR14" s="137" t="s">
        <v>8756</v>
      </c>
      <c r="LPS14" s="137" t="s">
        <v>8757</v>
      </c>
      <c r="LPT14" s="137" t="s">
        <v>8758</v>
      </c>
      <c r="LPU14" s="137" t="s">
        <v>8759</v>
      </c>
      <c r="LPV14" s="137" t="s">
        <v>8760</v>
      </c>
      <c r="LPW14" s="137" t="s">
        <v>8761</v>
      </c>
      <c r="LPX14" s="137" t="s">
        <v>8762</v>
      </c>
      <c r="LPY14" s="137" t="s">
        <v>8763</v>
      </c>
      <c r="LPZ14" s="137" t="s">
        <v>8764</v>
      </c>
      <c r="LQA14" s="137" t="s">
        <v>8765</v>
      </c>
      <c r="LQB14" s="137" t="s">
        <v>8766</v>
      </c>
      <c r="LQC14" s="137" t="s">
        <v>8767</v>
      </c>
      <c r="LQD14" s="137" t="s">
        <v>8768</v>
      </c>
      <c r="LQE14" s="137" t="s">
        <v>8769</v>
      </c>
      <c r="LQF14" s="137" t="s">
        <v>8770</v>
      </c>
      <c r="LQG14" s="137" t="s">
        <v>8771</v>
      </c>
      <c r="LQH14" s="137" t="s">
        <v>8772</v>
      </c>
      <c r="LQI14" s="137" t="s">
        <v>8773</v>
      </c>
      <c r="LQJ14" s="137" t="s">
        <v>8774</v>
      </c>
      <c r="LQK14" s="137" t="s">
        <v>8775</v>
      </c>
      <c r="LQL14" s="137" t="s">
        <v>8776</v>
      </c>
      <c r="LQM14" s="137" t="s">
        <v>8777</v>
      </c>
      <c r="LQN14" s="137" t="s">
        <v>8778</v>
      </c>
      <c r="LQO14" s="137" t="s">
        <v>8779</v>
      </c>
      <c r="LQP14" s="137" t="s">
        <v>8780</v>
      </c>
      <c r="LQQ14" s="137" t="s">
        <v>8781</v>
      </c>
      <c r="LQR14" s="137" t="s">
        <v>8782</v>
      </c>
      <c r="LQS14" s="137" t="s">
        <v>8783</v>
      </c>
      <c r="LQT14" s="137" t="s">
        <v>8784</v>
      </c>
      <c r="LQU14" s="137" t="s">
        <v>8785</v>
      </c>
      <c r="LQV14" s="137" t="s">
        <v>8786</v>
      </c>
      <c r="LQW14" s="137" t="s">
        <v>8787</v>
      </c>
      <c r="LQX14" s="137" t="s">
        <v>8788</v>
      </c>
      <c r="LQY14" s="137" t="s">
        <v>8789</v>
      </c>
      <c r="LQZ14" s="137" t="s">
        <v>8790</v>
      </c>
      <c r="LRA14" s="137" t="s">
        <v>8791</v>
      </c>
      <c r="LRB14" s="137" t="s">
        <v>8792</v>
      </c>
      <c r="LRC14" s="137" t="s">
        <v>8793</v>
      </c>
      <c r="LRD14" s="137" t="s">
        <v>8794</v>
      </c>
      <c r="LRE14" s="137" t="s">
        <v>8795</v>
      </c>
      <c r="LRF14" s="137" t="s">
        <v>8796</v>
      </c>
      <c r="LRG14" s="137" t="s">
        <v>8797</v>
      </c>
      <c r="LRH14" s="137" t="s">
        <v>8798</v>
      </c>
      <c r="LRI14" s="137" t="s">
        <v>8799</v>
      </c>
      <c r="LRJ14" s="137" t="s">
        <v>8800</v>
      </c>
      <c r="LRK14" s="137" t="s">
        <v>8801</v>
      </c>
      <c r="LRL14" s="137" t="s">
        <v>8802</v>
      </c>
      <c r="LRM14" s="137" t="s">
        <v>8803</v>
      </c>
      <c r="LRN14" s="137" t="s">
        <v>8804</v>
      </c>
      <c r="LRO14" s="137" t="s">
        <v>8805</v>
      </c>
      <c r="LRP14" s="137" t="s">
        <v>8806</v>
      </c>
      <c r="LRQ14" s="137" t="s">
        <v>8807</v>
      </c>
      <c r="LRR14" s="137" t="s">
        <v>8808</v>
      </c>
      <c r="LRS14" s="137" t="s">
        <v>8809</v>
      </c>
      <c r="LRT14" s="137" t="s">
        <v>8810</v>
      </c>
      <c r="LRU14" s="137" t="s">
        <v>8811</v>
      </c>
      <c r="LRV14" s="137" t="s">
        <v>8812</v>
      </c>
      <c r="LRW14" s="137" t="s">
        <v>8813</v>
      </c>
      <c r="LRX14" s="137" t="s">
        <v>8814</v>
      </c>
      <c r="LRY14" s="137" t="s">
        <v>8815</v>
      </c>
      <c r="LRZ14" s="137" t="s">
        <v>8816</v>
      </c>
      <c r="LSA14" s="137" t="s">
        <v>8817</v>
      </c>
      <c r="LSB14" s="137" t="s">
        <v>8818</v>
      </c>
      <c r="LSC14" s="137" t="s">
        <v>8819</v>
      </c>
      <c r="LSD14" s="137" t="s">
        <v>8820</v>
      </c>
      <c r="LSE14" s="137" t="s">
        <v>8821</v>
      </c>
      <c r="LSF14" s="137" t="s">
        <v>8822</v>
      </c>
      <c r="LSG14" s="137" t="s">
        <v>8823</v>
      </c>
      <c r="LSH14" s="137" t="s">
        <v>8824</v>
      </c>
      <c r="LSI14" s="137" t="s">
        <v>8825</v>
      </c>
      <c r="LSJ14" s="137" t="s">
        <v>8826</v>
      </c>
      <c r="LSK14" s="137" t="s">
        <v>8827</v>
      </c>
      <c r="LSL14" s="137" t="s">
        <v>8828</v>
      </c>
      <c r="LSM14" s="137" t="s">
        <v>8829</v>
      </c>
      <c r="LSN14" s="137" t="s">
        <v>8830</v>
      </c>
      <c r="LSO14" s="137" t="s">
        <v>8831</v>
      </c>
      <c r="LSP14" s="137" t="s">
        <v>8832</v>
      </c>
      <c r="LSQ14" s="137" t="s">
        <v>8833</v>
      </c>
      <c r="LSR14" s="137" t="s">
        <v>8834</v>
      </c>
      <c r="LSS14" s="137" t="s">
        <v>8835</v>
      </c>
      <c r="LST14" s="137" t="s">
        <v>8836</v>
      </c>
      <c r="LSU14" s="137" t="s">
        <v>8837</v>
      </c>
      <c r="LSV14" s="137" t="s">
        <v>8838</v>
      </c>
      <c r="LSW14" s="137" t="s">
        <v>8839</v>
      </c>
      <c r="LSX14" s="137" t="s">
        <v>8840</v>
      </c>
      <c r="LSY14" s="137" t="s">
        <v>8841</v>
      </c>
      <c r="LSZ14" s="137" t="s">
        <v>8842</v>
      </c>
      <c r="LTA14" s="137" t="s">
        <v>8843</v>
      </c>
      <c r="LTB14" s="137" t="s">
        <v>8844</v>
      </c>
      <c r="LTC14" s="137" t="s">
        <v>8845</v>
      </c>
      <c r="LTD14" s="137" t="s">
        <v>8846</v>
      </c>
      <c r="LTE14" s="137" t="s">
        <v>8847</v>
      </c>
      <c r="LTF14" s="137" t="s">
        <v>8848</v>
      </c>
      <c r="LTG14" s="137" t="s">
        <v>8849</v>
      </c>
      <c r="LTH14" s="137" t="s">
        <v>8850</v>
      </c>
      <c r="LTI14" s="137" t="s">
        <v>8851</v>
      </c>
      <c r="LTJ14" s="137" t="s">
        <v>8852</v>
      </c>
      <c r="LTK14" s="137" t="s">
        <v>8853</v>
      </c>
      <c r="LTL14" s="137" t="s">
        <v>8854</v>
      </c>
      <c r="LTM14" s="137" t="s">
        <v>8855</v>
      </c>
      <c r="LTN14" s="137" t="s">
        <v>8856</v>
      </c>
      <c r="LTO14" s="137" t="s">
        <v>8857</v>
      </c>
      <c r="LTP14" s="137" t="s">
        <v>8858</v>
      </c>
      <c r="LTQ14" s="137" t="s">
        <v>8859</v>
      </c>
      <c r="LTR14" s="137" t="s">
        <v>8860</v>
      </c>
      <c r="LTS14" s="137" t="s">
        <v>8861</v>
      </c>
      <c r="LTT14" s="137" t="s">
        <v>8862</v>
      </c>
      <c r="LTU14" s="137" t="s">
        <v>8863</v>
      </c>
      <c r="LTV14" s="137" t="s">
        <v>8864</v>
      </c>
      <c r="LTW14" s="137" t="s">
        <v>8865</v>
      </c>
      <c r="LTX14" s="137" t="s">
        <v>8866</v>
      </c>
      <c r="LTY14" s="137" t="s">
        <v>8867</v>
      </c>
      <c r="LTZ14" s="137" t="s">
        <v>8868</v>
      </c>
      <c r="LUA14" s="137" t="s">
        <v>8869</v>
      </c>
      <c r="LUB14" s="137" t="s">
        <v>8870</v>
      </c>
      <c r="LUC14" s="137" t="s">
        <v>8871</v>
      </c>
      <c r="LUD14" s="137" t="s">
        <v>8872</v>
      </c>
      <c r="LUE14" s="137" t="s">
        <v>8873</v>
      </c>
      <c r="LUF14" s="137" t="s">
        <v>8874</v>
      </c>
      <c r="LUG14" s="137" t="s">
        <v>8875</v>
      </c>
      <c r="LUH14" s="137" t="s">
        <v>8876</v>
      </c>
      <c r="LUI14" s="137" t="s">
        <v>8877</v>
      </c>
      <c r="LUJ14" s="137" t="s">
        <v>8878</v>
      </c>
      <c r="LUK14" s="137" t="s">
        <v>8879</v>
      </c>
      <c r="LUL14" s="137" t="s">
        <v>8880</v>
      </c>
      <c r="LUM14" s="137" t="s">
        <v>8881</v>
      </c>
      <c r="LUN14" s="137" t="s">
        <v>8882</v>
      </c>
      <c r="LUO14" s="137" t="s">
        <v>8883</v>
      </c>
      <c r="LUP14" s="137" t="s">
        <v>8884</v>
      </c>
      <c r="LUQ14" s="137" t="s">
        <v>8885</v>
      </c>
      <c r="LUR14" s="137" t="s">
        <v>8886</v>
      </c>
      <c r="LUS14" s="137" t="s">
        <v>8887</v>
      </c>
      <c r="LUT14" s="137" t="s">
        <v>8888</v>
      </c>
      <c r="LUU14" s="137" t="s">
        <v>8889</v>
      </c>
      <c r="LUV14" s="137" t="s">
        <v>8890</v>
      </c>
      <c r="LUW14" s="137" t="s">
        <v>8891</v>
      </c>
      <c r="LUX14" s="137" t="s">
        <v>8892</v>
      </c>
      <c r="LUY14" s="137" t="s">
        <v>8893</v>
      </c>
      <c r="LUZ14" s="137" t="s">
        <v>8894</v>
      </c>
      <c r="LVA14" s="137" t="s">
        <v>8895</v>
      </c>
      <c r="LVB14" s="137" t="s">
        <v>8896</v>
      </c>
      <c r="LVC14" s="137" t="s">
        <v>8897</v>
      </c>
      <c r="LVD14" s="137" t="s">
        <v>8898</v>
      </c>
      <c r="LVE14" s="137" t="s">
        <v>8899</v>
      </c>
      <c r="LVF14" s="137" t="s">
        <v>8900</v>
      </c>
      <c r="LVG14" s="137" t="s">
        <v>8901</v>
      </c>
      <c r="LVH14" s="137" t="s">
        <v>8902</v>
      </c>
      <c r="LVI14" s="137" t="s">
        <v>8903</v>
      </c>
      <c r="LVJ14" s="137" t="s">
        <v>8904</v>
      </c>
      <c r="LVK14" s="137" t="s">
        <v>8905</v>
      </c>
      <c r="LVL14" s="137" t="s">
        <v>8906</v>
      </c>
      <c r="LVM14" s="137" t="s">
        <v>8907</v>
      </c>
      <c r="LVN14" s="137" t="s">
        <v>8908</v>
      </c>
      <c r="LVO14" s="137" t="s">
        <v>8909</v>
      </c>
      <c r="LVP14" s="137" t="s">
        <v>8910</v>
      </c>
      <c r="LVQ14" s="137" t="s">
        <v>8911</v>
      </c>
      <c r="LVR14" s="137" t="s">
        <v>8912</v>
      </c>
      <c r="LVS14" s="137" t="s">
        <v>8913</v>
      </c>
      <c r="LVT14" s="137" t="s">
        <v>8914</v>
      </c>
      <c r="LVU14" s="137" t="s">
        <v>8915</v>
      </c>
      <c r="LVV14" s="137" t="s">
        <v>8916</v>
      </c>
      <c r="LVW14" s="137" t="s">
        <v>8917</v>
      </c>
      <c r="LVX14" s="137" t="s">
        <v>8918</v>
      </c>
      <c r="LVY14" s="137" t="s">
        <v>8919</v>
      </c>
      <c r="LVZ14" s="137" t="s">
        <v>8920</v>
      </c>
      <c r="LWA14" s="137" t="s">
        <v>8921</v>
      </c>
      <c r="LWB14" s="137" t="s">
        <v>8922</v>
      </c>
      <c r="LWC14" s="137" t="s">
        <v>8923</v>
      </c>
      <c r="LWD14" s="137" t="s">
        <v>8924</v>
      </c>
      <c r="LWE14" s="137" t="s">
        <v>8925</v>
      </c>
      <c r="LWF14" s="137" t="s">
        <v>8926</v>
      </c>
      <c r="LWG14" s="137" t="s">
        <v>8927</v>
      </c>
      <c r="LWH14" s="137" t="s">
        <v>8928</v>
      </c>
      <c r="LWI14" s="137" t="s">
        <v>8929</v>
      </c>
      <c r="LWJ14" s="137" t="s">
        <v>8930</v>
      </c>
      <c r="LWK14" s="137" t="s">
        <v>8931</v>
      </c>
      <c r="LWL14" s="137" t="s">
        <v>8932</v>
      </c>
      <c r="LWM14" s="137" t="s">
        <v>8933</v>
      </c>
      <c r="LWN14" s="137" t="s">
        <v>8934</v>
      </c>
      <c r="LWO14" s="137" t="s">
        <v>8935</v>
      </c>
      <c r="LWP14" s="137" t="s">
        <v>8936</v>
      </c>
      <c r="LWQ14" s="137" t="s">
        <v>8937</v>
      </c>
      <c r="LWR14" s="137" t="s">
        <v>8938</v>
      </c>
      <c r="LWS14" s="137" t="s">
        <v>8939</v>
      </c>
      <c r="LWT14" s="137" t="s">
        <v>8940</v>
      </c>
      <c r="LWU14" s="137" t="s">
        <v>8941</v>
      </c>
      <c r="LWV14" s="137" t="s">
        <v>8942</v>
      </c>
      <c r="LWW14" s="137" t="s">
        <v>8943</v>
      </c>
      <c r="LWX14" s="137" t="s">
        <v>8944</v>
      </c>
      <c r="LWY14" s="137" t="s">
        <v>8945</v>
      </c>
      <c r="LWZ14" s="137" t="s">
        <v>8946</v>
      </c>
      <c r="LXA14" s="137" t="s">
        <v>8947</v>
      </c>
      <c r="LXB14" s="137" t="s">
        <v>8948</v>
      </c>
      <c r="LXC14" s="137" t="s">
        <v>8949</v>
      </c>
      <c r="LXD14" s="137" t="s">
        <v>8950</v>
      </c>
      <c r="LXE14" s="137" t="s">
        <v>8951</v>
      </c>
      <c r="LXF14" s="137" t="s">
        <v>8952</v>
      </c>
      <c r="LXG14" s="137" t="s">
        <v>8953</v>
      </c>
      <c r="LXH14" s="137" t="s">
        <v>8954</v>
      </c>
      <c r="LXI14" s="137" t="s">
        <v>8955</v>
      </c>
      <c r="LXJ14" s="137" t="s">
        <v>8956</v>
      </c>
      <c r="LXK14" s="137" t="s">
        <v>8957</v>
      </c>
      <c r="LXL14" s="137" t="s">
        <v>8958</v>
      </c>
      <c r="LXM14" s="137" t="s">
        <v>8959</v>
      </c>
      <c r="LXN14" s="137" t="s">
        <v>8960</v>
      </c>
      <c r="LXO14" s="137" t="s">
        <v>8961</v>
      </c>
      <c r="LXP14" s="137" t="s">
        <v>8962</v>
      </c>
      <c r="LXQ14" s="137" t="s">
        <v>8963</v>
      </c>
      <c r="LXR14" s="137" t="s">
        <v>8964</v>
      </c>
      <c r="LXS14" s="137" t="s">
        <v>8965</v>
      </c>
      <c r="LXT14" s="137" t="s">
        <v>8966</v>
      </c>
      <c r="LXU14" s="137" t="s">
        <v>8967</v>
      </c>
      <c r="LXV14" s="137" t="s">
        <v>8968</v>
      </c>
      <c r="LXW14" s="137" t="s">
        <v>8969</v>
      </c>
      <c r="LXX14" s="137" t="s">
        <v>8970</v>
      </c>
      <c r="LXY14" s="137" t="s">
        <v>8971</v>
      </c>
      <c r="LXZ14" s="137" t="s">
        <v>8972</v>
      </c>
      <c r="LYA14" s="137" t="s">
        <v>8973</v>
      </c>
      <c r="LYB14" s="137" t="s">
        <v>8974</v>
      </c>
      <c r="LYC14" s="137" t="s">
        <v>8975</v>
      </c>
      <c r="LYD14" s="137" t="s">
        <v>8976</v>
      </c>
      <c r="LYE14" s="137" t="s">
        <v>8977</v>
      </c>
      <c r="LYF14" s="137" t="s">
        <v>8978</v>
      </c>
      <c r="LYG14" s="137" t="s">
        <v>8979</v>
      </c>
      <c r="LYH14" s="137" t="s">
        <v>8980</v>
      </c>
      <c r="LYI14" s="137" t="s">
        <v>8981</v>
      </c>
      <c r="LYJ14" s="137" t="s">
        <v>8982</v>
      </c>
      <c r="LYK14" s="137" t="s">
        <v>8983</v>
      </c>
      <c r="LYL14" s="137" t="s">
        <v>8984</v>
      </c>
      <c r="LYM14" s="137" t="s">
        <v>8985</v>
      </c>
      <c r="LYN14" s="137" t="s">
        <v>8986</v>
      </c>
      <c r="LYO14" s="137" t="s">
        <v>8987</v>
      </c>
      <c r="LYP14" s="137" t="s">
        <v>8988</v>
      </c>
      <c r="LYQ14" s="137" t="s">
        <v>8989</v>
      </c>
      <c r="LYR14" s="137" t="s">
        <v>8990</v>
      </c>
      <c r="LYS14" s="137" t="s">
        <v>8991</v>
      </c>
      <c r="LYT14" s="137" t="s">
        <v>8992</v>
      </c>
      <c r="LYU14" s="137" t="s">
        <v>8993</v>
      </c>
      <c r="LYV14" s="137" t="s">
        <v>8994</v>
      </c>
      <c r="LYW14" s="137" t="s">
        <v>8995</v>
      </c>
      <c r="LYX14" s="137" t="s">
        <v>8996</v>
      </c>
      <c r="LYY14" s="137" t="s">
        <v>8997</v>
      </c>
      <c r="LYZ14" s="137" t="s">
        <v>8998</v>
      </c>
      <c r="LZA14" s="137" t="s">
        <v>8999</v>
      </c>
      <c r="LZB14" s="137" t="s">
        <v>9000</v>
      </c>
      <c r="LZC14" s="137" t="s">
        <v>9001</v>
      </c>
      <c r="LZD14" s="137" t="s">
        <v>9002</v>
      </c>
      <c r="LZE14" s="137" t="s">
        <v>9003</v>
      </c>
      <c r="LZF14" s="137" t="s">
        <v>9004</v>
      </c>
      <c r="LZG14" s="137" t="s">
        <v>9005</v>
      </c>
      <c r="LZH14" s="137" t="s">
        <v>9006</v>
      </c>
      <c r="LZI14" s="137" t="s">
        <v>9007</v>
      </c>
      <c r="LZJ14" s="137" t="s">
        <v>9008</v>
      </c>
      <c r="LZK14" s="137" t="s">
        <v>9009</v>
      </c>
      <c r="LZL14" s="137" t="s">
        <v>9010</v>
      </c>
      <c r="LZM14" s="137" t="s">
        <v>9011</v>
      </c>
      <c r="LZN14" s="137" t="s">
        <v>9012</v>
      </c>
      <c r="LZO14" s="137" t="s">
        <v>9013</v>
      </c>
      <c r="LZP14" s="137" t="s">
        <v>9014</v>
      </c>
      <c r="LZQ14" s="137" t="s">
        <v>9015</v>
      </c>
      <c r="LZR14" s="137" t="s">
        <v>9016</v>
      </c>
      <c r="LZS14" s="137" t="s">
        <v>9017</v>
      </c>
      <c r="LZT14" s="137" t="s">
        <v>9018</v>
      </c>
      <c r="LZU14" s="137" t="s">
        <v>9019</v>
      </c>
      <c r="LZV14" s="137" t="s">
        <v>9020</v>
      </c>
      <c r="LZW14" s="137" t="s">
        <v>9021</v>
      </c>
      <c r="LZX14" s="137" t="s">
        <v>9022</v>
      </c>
      <c r="LZY14" s="137" t="s">
        <v>9023</v>
      </c>
      <c r="LZZ14" s="137" t="s">
        <v>9024</v>
      </c>
      <c r="MAA14" s="137" t="s">
        <v>9025</v>
      </c>
      <c r="MAB14" s="137" t="s">
        <v>9026</v>
      </c>
      <c r="MAC14" s="137" t="s">
        <v>9027</v>
      </c>
      <c r="MAD14" s="137" t="s">
        <v>9028</v>
      </c>
      <c r="MAE14" s="137" t="s">
        <v>9029</v>
      </c>
      <c r="MAF14" s="137" t="s">
        <v>9030</v>
      </c>
      <c r="MAG14" s="137" t="s">
        <v>9031</v>
      </c>
      <c r="MAH14" s="137" t="s">
        <v>9032</v>
      </c>
      <c r="MAI14" s="137" t="s">
        <v>9033</v>
      </c>
      <c r="MAJ14" s="137" t="s">
        <v>9034</v>
      </c>
      <c r="MAK14" s="137" t="s">
        <v>9035</v>
      </c>
      <c r="MAL14" s="137" t="s">
        <v>9036</v>
      </c>
      <c r="MAM14" s="137" t="s">
        <v>9037</v>
      </c>
      <c r="MAN14" s="137" t="s">
        <v>9038</v>
      </c>
      <c r="MAO14" s="137" t="s">
        <v>9039</v>
      </c>
      <c r="MAP14" s="137" t="s">
        <v>9040</v>
      </c>
      <c r="MAQ14" s="137" t="s">
        <v>9041</v>
      </c>
      <c r="MAR14" s="137" t="s">
        <v>9042</v>
      </c>
      <c r="MAS14" s="137" t="s">
        <v>9043</v>
      </c>
      <c r="MAT14" s="137" t="s">
        <v>9044</v>
      </c>
      <c r="MAU14" s="137" t="s">
        <v>9045</v>
      </c>
      <c r="MAV14" s="137" t="s">
        <v>9046</v>
      </c>
      <c r="MAW14" s="137" t="s">
        <v>9047</v>
      </c>
      <c r="MAX14" s="137" t="s">
        <v>9048</v>
      </c>
      <c r="MAY14" s="137" t="s">
        <v>9049</v>
      </c>
      <c r="MAZ14" s="137" t="s">
        <v>9050</v>
      </c>
      <c r="MBA14" s="137" t="s">
        <v>9051</v>
      </c>
      <c r="MBB14" s="137" t="s">
        <v>9052</v>
      </c>
      <c r="MBC14" s="137" t="s">
        <v>9053</v>
      </c>
      <c r="MBD14" s="137" t="s">
        <v>9054</v>
      </c>
      <c r="MBE14" s="137" t="s">
        <v>9055</v>
      </c>
      <c r="MBF14" s="137" t="s">
        <v>9056</v>
      </c>
      <c r="MBG14" s="137" t="s">
        <v>9057</v>
      </c>
      <c r="MBH14" s="137" t="s">
        <v>9058</v>
      </c>
      <c r="MBI14" s="137" t="s">
        <v>9059</v>
      </c>
      <c r="MBJ14" s="137" t="s">
        <v>9060</v>
      </c>
      <c r="MBK14" s="137" t="s">
        <v>9061</v>
      </c>
      <c r="MBL14" s="137" t="s">
        <v>9062</v>
      </c>
      <c r="MBM14" s="137" t="s">
        <v>9063</v>
      </c>
      <c r="MBN14" s="137" t="s">
        <v>9064</v>
      </c>
      <c r="MBO14" s="137" t="s">
        <v>9065</v>
      </c>
      <c r="MBP14" s="137" t="s">
        <v>9066</v>
      </c>
      <c r="MBQ14" s="137" t="s">
        <v>9067</v>
      </c>
      <c r="MBR14" s="137" t="s">
        <v>9068</v>
      </c>
      <c r="MBS14" s="137" t="s">
        <v>9069</v>
      </c>
      <c r="MBT14" s="137" t="s">
        <v>9070</v>
      </c>
      <c r="MBU14" s="137" t="s">
        <v>9071</v>
      </c>
      <c r="MBV14" s="137" t="s">
        <v>9072</v>
      </c>
      <c r="MBW14" s="137" t="s">
        <v>9073</v>
      </c>
      <c r="MBX14" s="137" t="s">
        <v>9074</v>
      </c>
      <c r="MBY14" s="137" t="s">
        <v>9075</v>
      </c>
      <c r="MBZ14" s="137" t="s">
        <v>9076</v>
      </c>
      <c r="MCA14" s="137" t="s">
        <v>9077</v>
      </c>
      <c r="MCB14" s="137" t="s">
        <v>9078</v>
      </c>
      <c r="MCC14" s="137" t="s">
        <v>9079</v>
      </c>
      <c r="MCD14" s="137" t="s">
        <v>9080</v>
      </c>
      <c r="MCE14" s="137" t="s">
        <v>9081</v>
      </c>
      <c r="MCF14" s="137" t="s">
        <v>9082</v>
      </c>
      <c r="MCG14" s="137" t="s">
        <v>9083</v>
      </c>
      <c r="MCH14" s="137" t="s">
        <v>9084</v>
      </c>
      <c r="MCI14" s="137" t="s">
        <v>9085</v>
      </c>
      <c r="MCJ14" s="137" t="s">
        <v>9086</v>
      </c>
      <c r="MCK14" s="137" t="s">
        <v>9087</v>
      </c>
      <c r="MCL14" s="137" t="s">
        <v>9088</v>
      </c>
      <c r="MCM14" s="137" t="s">
        <v>9089</v>
      </c>
      <c r="MCN14" s="137" t="s">
        <v>9090</v>
      </c>
      <c r="MCO14" s="137" t="s">
        <v>9091</v>
      </c>
      <c r="MCP14" s="137" t="s">
        <v>9092</v>
      </c>
      <c r="MCQ14" s="137" t="s">
        <v>9093</v>
      </c>
      <c r="MCR14" s="137" t="s">
        <v>9094</v>
      </c>
      <c r="MCS14" s="137" t="s">
        <v>9095</v>
      </c>
      <c r="MCT14" s="137" t="s">
        <v>9096</v>
      </c>
      <c r="MCU14" s="137" t="s">
        <v>9097</v>
      </c>
      <c r="MCV14" s="137" t="s">
        <v>9098</v>
      </c>
      <c r="MCW14" s="137" t="s">
        <v>9099</v>
      </c>
      <c r="MCX14" s="137" t="s">
        <v>9100</v>
      </c>
      <c r="MCY14" s="137" t="s">
        <v>9101</v>
      </c>
      <c r="MCZ14" s="137" t="s">
        <v>9102</v>
      </c>
      <c r="MDA14" s="137" t="s">
        <v>9103</v>
      </c>
      <c r="MDB14" s="137" t="s">
        <v>9104</v>
      </c>
      <c r="MDC14" s="137" t="s">
        <v>9105</v>
      </c>
      <c r="MDD14" s="137" t="s">
        <v>9106</v>
      </c>
      <c r="MDE14" s="137" t="s">
        <v>9107</v>
      </c>
      <c r="MDF14" s="137" t="s">
        <v>9108</v>
      </c>
      <c r="MDG14" s="137" t="s">
        <v>9109</v>
      </c>
      <c r="MDH14" s="137" t="s">
        <v>9110</v>
      </c>
      <c r="MDI14" s="137" t="s">
        <v>9111</v>
      </c>
      <c r="MDJ14" s="137" t="s">
        <v>9112</v>
      </c>
      <c r="MDK14" s="137" t="s">
        <v>9113</v>
      </c>
      <c r="MDL14" s="137" t="s">
        <v>9114</v>
      </c>
      <c r="MDM14" s="137" t="s">
        <v>9115</v>
      </c>
      <c r="MDN14" s="137" t="s">
        <v>9116</v>
      </c>
      <c r="MDO14" s="137" t="s">
        <v>9117</v>
      </c>
      <c r="MDP14" s="137" t="s">
        <v>9118</v>
      </c>
      <c r="MDQ14" s="137" t="s">
        <v>9119</v>
      </c>
      <c r="MDR14" s="137" t="s">
        <v>9120</v>
      </c>
      <c r="MDS14" s="137" t="s">
        <v>9121</v>
      </c>
      <c r="MDT14" s="137" t="s">
        <v>9122</v>
      </c>
      <c r="MDU14" s="137" t="s">
        <v>9123</v>
      </c>
      <c r="MDV14" s="137" t="s">
        <v>9124</v>
      </c>
      <c r="MDW14" s="137" t="s">
        <v>9125</v>
      </c>
      <c r="MDX14" s="137" t="s">
        <v>9126</v>
      </c>
      <c r="MDY14" s="137" t="s">
        <v>9127</v>
      </c>
      <c r="MDZ14" s="137" t="s">
        <v>9128</v>
      </c>
      <c r="MEA14" s="137" t="s">
        <v>9129</v>
      </c>
      <c r="MEB14" s="137" t="s">
        <v>9130</v>
      </c>
      <c r="MEC14" s="137" t="s">
        <v>9131</v>
      </c>
      <c r="MED14" s="137" t="s">
        <v>9132</v>
      </c>
      <c r="MEE14" s="137" t="s">
        <v>9133</v>
      </c>
      <c r="MEF14" s="137" t="s">
        <v>9134</v>
      </c>
      <c r="MEG14" s="137" t="s">
        <v>9135</v>
      </c>
      <c r="MEH14" s="137" t="s">
        <v>9136</v>
      </c>
      <c r="MEI14" s="137" t="s">
        <v>9137</v>
      </c>
      <c r="MEJ14" s="137" t="s">
        <v>9138</v>
      </c>
      <c r="MEK14" s="137" t="s">
        <v>9139</v>
      </c>
      <c r="MEL14" s="137" t="s">
        <v>9140</v>
      </c>
      <c r="MEM14" s="137" t="s">
        <v>9141</v>
      </c>
      <c r="MEN14" s="137" t="s">
        <v>9142</v>
      </c>
      <c r="MEO14" s="137" t="s">
        <v>9143</v>
      </c>
      <c r="MEP14" s="137" t="s">
        <v>9144</v>
      </c>
      <c r="MEQ14" s="137" t="s">
        <v>9145</v>
      </c>
      <c r="MER14" s="137" t="s">
        <v>9146</v>
      </c>
      <c r="MES14" s="137" t="s">
        <v>9147</v>
      </c>
      <c r="MET14" s="137" t="s">
        <v>9148</v>
      </c>
      <c r="MEU14" s="137" t="s">
        <v>9149</v>
      </c>
      <c r="MEV14" s="137" t="s">
        <v>9150</v>
      </c>
      <c r="MEW14" s="137" t="s">
        <v>9151</v>
      </c>
      <c r="MEX14" s="137" t="s">
        <v>9152</v>
      </c>
      <c r="MEY14" s="137" t="s">
        <v>9153</v>
      </c>
      <c r="MEZ14" s="137" t="s">
        <v>9154</v>
      </c>
      <c r="MFA14" s="137" t="s">
        <v>9155</v>
      </c>
      <c r="MFB14" s="137" t="s">
        <v>9156</v>
      </c>
      <c r="MFC14" s="137" t="s">
        <v>9157</v>
      </c>
      <c r="MFD14" s="137" t="s">
        <v>9158</v>
      </c>
      <c r="MFE14" s="137" t="s">
        <v>9159</v>
      </c>
      <c r="MFF14" s="137" t="s">
        <v>9160</v>
      </c>
      <c r="MFG14" s="137" t="s">
        <v>9161</v>
      </c>
      <c r="MFH14" s="137" t="s">
        <v>9162</v>
      </c>
      <c r="MFI14" s="137" t="s">
        <v>9163</v>
      </c>
      <c r="MFJ14" s="137" t="s">
        <v>9164</v>
      </c>
      <c r="MFK14" s="137" t="s">
        <v>9165</v>
      </c>
      <c r="MFL14" s="137" t="s">
        <v>9166</v>
      </c>
      <c r="MFM14" s="137" t="s">
        <v>9167</v>
      </c>
      <c r="MFN14" s="137" t="s">
        <v>9168</v>
      </c>
      <c r="MFO14" s="137" t="s">
        <v>9169</v>
      </c>
      <c r="MFP14" s="137" t="s">
        <v>9170</v>
      </c>
      <c r="MFQ14" s="137" t="s">
        <v>9171</v>
      </c>
      <c r="MFR14" s="137" t="s">
        <v>9172</v>
      </c>
      <c r="MFS14" s="137" t="s">
        <v>9173</v>
      </c>
      <c r="MFT14" s="137" t="s">
        <v>9174</v>
      </c>
      <c r="MFU14" s="137" t="s">
        <v>9175</v>
      </c>
      <c r="MFV14" s="137" t="s">
        <v>9176</v>
      </c>
      <c r="MFW14" s="137" t="s">
        <v>9177</v>
      </c>
      <c r="MFX14" s="137" t="s">
        <v>9178</v>
      </c>
      <c r="MFY14" s="137" t="s">
        <v>9179</v>
      </c>
      <c r="MFZ14" s="137" t="s">
        <v>9180</v>
      </c>
      <c r="MGA14" s="137" t="s">
        <v>9181</v>
      </c>
      <c r="MGB14" s="137" t="s">
        <v>9182</v>
      </c>
      <c r="MGC14" s="137" t="s">
        <v>9183</v>
      </c>
      <c r="MGD14" s="137" t="s">
        <v>9184</v>
      </c>
      <c r="MGE14" s="137" t="s">
        <v>9185</v>
      </c>
      <c r="MGF14" s="137" t="s">
        <v>9186</v>
      </c>
      <c r="MGG14" s="137" t="s">
        <v>9187</v>
      </c>
      <c r="MGH14" s="137" t="s">
        <v>9188</v>
      </c>
      <c r="MGI14" s="137" t="s">
        <v>9189</v>
      </c>
      <c r="MGJ14" s="137" t="s">
        <v>9190</v>
      </c>
      <c r="MGK14" s="137" t="s">
        <v>9191</v>
      </c>
      <c r="MGL14" s="137" t="s">
        <v>9192</v>
      </c>
      <c r="MGM14" s="137" t="s">
        <v>9193</v>
      </c>
      <c r="MGN14" s="137" t="s">
        <v>9194</v>
      </c>
      <c r="MGO14" s="137" t="s">
        <v>9195</v>
      </c>
      <c r="MGP14" s="137" t="s">
        <v>9196</v>
      </c>
      <c r="MGQ14" s="137" t="s">
        <v>9197</v>
      </c>
      <c r="MGR14" s="137" t="s">
        <v>9198</v>
      </c>
      <c r="MGS14" s="137" t="s">
        <v>9199</v>
      </c>
      <c r="MGT14" s="137" t="s">
        <v>9200</v>
      </c>
      <c r="MGU14" s="137" t="s">
        <v>9201</v>
      </c>
      <c r="MGV14" s="137" t="s">
        <v>9202</v>
      </c>
      <c r="MGW14" s="137" t="s">
        <v>9203</v>
      </c>
      <c r="MGX14" s="137" t="s">
        <v>9204</v>
      </c>
      <c r="MGY14" s="137" t="s">
        <v>9205</v>
      </c>
      <c r="MGZ14" s="137" t="s">
        <v>9206</v>
      </c>
      <c r="MHA14" s="137" t="s">
        <v>9207</v>
      </c>
      <c r="MHB14" s="137" t="s">
        <v>9208</v>
      </c>
      <c r="MHC14" s="137" t="s">
        <v>9209</v>
      </c>
      <c r="MHD14" s="137" t="s">
        <v>9210</v>
      </c>
      <c r="MHE14" s="137" t="s">
        <v>9211</v>
      </c>
      <c r="MHF14" s="137" t="s">
        <v>9212</v>
      </c>
      <c r="MHG14" s="137" t="s">
        <v>9213</v>
      </c>
      <c r="MHH14" s="137" t="s">
        <v>9214</v>
      </c>
      <c r="MHI14" s="137" t="s">
        <v>9215</v>
      </c>
      <c r="MHJ14" s="137" t="s">
        <v>9216</v>
      </c>
      <c r="MHK14" s="137" t="s">
        <v>9217</v>
      </c>
      <c r="MHL14" s="137" t="s">
        <v>9218</v>
      </c>
      <c r="MHM14" s="137" t="s">
        <v>9219</v>
      </c>
      <c r="MHN14" s="137" t="s">
        <v>9220</v>
      </c>
      <c r="MHO14" s="137" t="s">
        <v>9221</v>
      </c>
      <c r="MHP14" s="137" t="s">
        <v>9222</v>
      </c>
      <c r="MHQ14" s="137" t="s">
        <v>9223</v>
      </c>
      <c r="MHR14" s="137" t="s">
        <v>9224</v>
      </c>
      <c r="MHS14" s="137" t="s">
        <v>9225</v>
      </c>
      <c r="MHT14" s="137" t="s">
        <v>9226</v>
      </c>
      <c r="MHU14" s="137" t="s">
        <v>9227</v>
      </c>
      <c r="MHV14" s="137" t="s">
        <v>9228</v>
      </c>
      <c r="MHW14" s="137" t="s">
        <v>9229</v>
      </c>
      <c r="MHX14" s="137" t="s">
        <v>9230</v>
      </c>
      <c r="MHY14" s="137" t="s">
        <v>9231</v>
      </c>
      <c r="MHZ14" s="137" t="s">
        <v>9232</v>
      </c>
      <c r="MIA14" s="137" t="s">
        <v>9233</v>
      </c>
      <c r="MIB14" s="137" t="s">
        <v>9234</v>
      </c>
      <c r="MIC14" s="137" t="s">
        <v>9235</v>
      </c>
      <c r="MID14" s="137" t="s">
        <v>9236</v>
      </c>
      <c r="MIE14" s="137" t="s">
        <v>9237</v>
      </c>
      <c r="MIF14" s="137" t="s">
        <v>9238</v>
      </c>
      <c r="MIG14" s="137" t="s">
        <v>9239</v>
      </c>
      <c r="MIH14" s="137" t="s">
        <v>9240</v>
      </c>
      <c r="MII14" s="137" t="s">
        <v>9241</v>
      </c>
      <c r="MIJ14" s="137" t="s">
        <v>9242</v>
      </c>
      <c r="MIK14" s="137" t="s">
        <v>9243</v>
      </c>
      <c r="MIL14" s="137" t="s">
        <v>9244</v>
      </c>
      <c r="MIM14" s="137" t="s">
        <v>9245</v>
      </c>
      <c r="MIN14" s="137" t="s">
        <v>9246</v>
      </c>
      <c r="MIO14" s="137" t="s">
        <v>9247</v>
      </c>
      <c r="MIP14" s="137" t="s">
        <v>9248</v>
      </c>
      <c r="MIQ14" s="137" t="s">
        <v>9249</v>
      </c>
      <c r="MIR14" s="137" t="s">
        <v>9250</v>
      </c>
      <c r="MIS14" s="137" t="s">
        <v>9251</v>
      </c>
      <c r="MIT14" s="137" t="s">
        <v>9252</v>
      </c>
      <c r="MIU14" s="137" t="s">
        <v>9253</v>
      </c>
      <c r="MIV14" s="137" t="s">
        <v>9254</v>
      </c>
      <c r="MIW14" s="137" t="s">
        <v>9255</v>
      </c>
      <c r="MIX14" s="137" t="s">
        <v>9256</v>
      </c>
      <c r="MIY14" s="137" t="s">
        <v>9257</v>
      </c>
      <c r="MIZ14" s="137" t="s">
        <v>9258</v>
      </c>
      <c r="MJA14" s="137" t="s">
        <v>9259</v>
      </c>
      <c r="MJB14" s="137" t="s">
        <v>9260</v>
      </c>
      <c r="MJC14" s="137" t="s">
        <v>9261</v>
      </c>
      <c r="MJD14" s="137" t="s">
        <v>9262</v>
      </c>
      <c r="MJE14" s="137" t="s">
        <v>9263</v>
      </c>
      <c r="MJF14" s="137" t="s">
        <v>9264</v>
      </c>
      <c r="MJG14" s="137" t="s">
        <v>9265</v>
      </c>
      <c r="MJH14" s="137" t="s">
        <v>9266</v>
      </c>
      <c r="MJI14" s="137" t="s">
        <v>9267</v>
      </c>
      <c r="MJJ14" s="137" t="s">
        <v>9268</v>
      </c>
      <c r="MJK14" s="137" t="s">
        <v>9269</v>
      </c>
      <c r="MJL14" s="137" t="s">
        <v>9270</v>
      </c>
      <c r="MJM14" s="137" t="s">
        <v>9271</v>
      </c>
      <c r="MJN14" s="137" t="s">
        <v>9272</v>
      </c>
      <c r="MJO14" s="137" t="s">
        <v>9273</v>
      </c>
      <c r="MJP14" s="137" t="s">
        <v>9274</v>
      </c>
      <c r="MJQ14" s="137" t="s">
        <v>9275</v>
      </c>
      <c r="MJR14" s="137" t="s">
        <v>9276</v>
      </c>
      <c r="MJS14" s="137" t="s">
        <v>9277</v>
      </c>
      <c r="MJT14" s="137" t="s">
        <v>9278</v>
      </c>
      <c r="MJU14" s="137" t="s">
        <v>9279</v>
      </c>
      <c r="MJV14" s="137" t="s">
        <v>9280</v>
      </c>
      <c r="MJW14" s="137" t="s">
        <v>9281</v>
      </c>
      <c r="MJX14" s="137" t="s">
        <v>9282</v>
      </c>
      <c r="MJY14" s="137" t="s">
        <v>9283</v>
      </c>
      <c r="MJZ14" s="137" t="s">
        <v>9284</v>
      </c>
      <c r="MKA14" s="137" t="s">
        <v>9285</v>
      </c>
      <c r="MKB14" s="137" t="s">
        <v>9286</v>
      </c>
      <c r="MKC14" s="137" t="s">
        <v>9287</v>
      </c>
      <c r="MKD14" s="137" t="s">
        <v>9288</v>
      </c>
      <c r="MKE14" s="137" t="s">
        <v>9289</v>
      </c>
      <c r="MKF14" s="137" t="s">
        <v>9290</v>
      </c>
      <c r="MKG14" s="137" t="s">
        <v>9291</v>
      </c>
      <c r="MKH14" s="137" t="s">
        <v>9292</v>
      </c>
      <c r="MKI14" s="137" t="s">
        <v>9293</v>
      </c>
      <c r="MKJ14" s="137" t="s">
        <v>9294</v>
      </c>
      <c r="MKK14" s="137" t="s">
        <v>9295</v>
      </c>
      <c r="MKL14" s="137" t="s">
        <v>9296</v>
      </c>
      <c r="MKM14" s="137" t="s">
        <v>9297</v>
      </c>
      <c r="MKN14" s="137" t="s">
        <v>9298</v>
      </c>
      <c r="MKO14" s="137" t="s">
        <v>9299</v>
      </c>
      <c r="MKP14" s="137" t="s">
        <v>9300</v>
      </c>
      <c r="MKQ14" s="137" t="s">
        <v>9301</v>
      </c>
      <c r="MKR14" s="137" t="s">
        <v>9302</v>
      </c>
      <c r="MKS14" s="137" t="s">
        <v>9303</v>
      </c>
      <c r="MKT14" s="137" t="s">
        <v>9304</v>
      </c>
      <c r="MKU14" s="137" t="s">
        <v>9305</v>
      </c>
      <c r="MKV14" s="137" t="s">
        <v>9306</v>
      </c>
      <c r="MKW14" s="137" t="s">
        <v>9307</v>
      </c>
      <c r="MKX14" s="137" t="s">
        <v>9308</v>
      </c>
      <c r="MKY14" s="137" t="s">
        <v>9309</v>
      </c>
      <c r="MKZ14" s="137" t="s">
        <v>9310</v>
      </c>
      <c r="MLA14" s="137" t="s">
        <v>9311</v>
      </c>
      <c r="MLB14" s="137" t="s">
        <v>9312</v>
      </c>
      <c r="MLC14" s="137" t="s">
        <v>9313</v>
      </c>
      <c r="MLD14" s="137" t="s">
        <v>9314</v>
      </c>
      <c r="MLE14" s="137" t="s">
        <v>9315</v>
      </c>
      <c r="MLF14" s="137" t="s">
        <v>9316</v>
      </c>
      <c r="MLG14" s="137" t="s">
        <v>9317</v>
      </c>
      <c r="MLH14" s="137" t="s">
        <v>9318</v>
      </c>
      <c r="MLI14" s="137" t="s">
        <v>9319</v>
      </c>
      <c r="MLJ14" s="137" t="s">
        <v>9320</v>
      </c>
      <c r="MLK14" s="137" t="s">
        <v>9321</v>
      </c>
      <c r="MLL14" s="137" t="s">
        <v>9322</v>
      </c>
      <c r="MLM14" s="137" t="s">
        <v>9323</v>
      </c>
      <c r="MLN14" s="137" t="s">
        <v>9324</v>
      </c>
      <c r="MLO14" s="137" t="s">
        <v>9325</v>
      </c>
      <c r="MLP14" s="137" t="s">
        <v>9326</v>
      </c>
      <c r="MLQ14" s="137" t="s">
        <v>9327</v>
      </c>
      <c r="MLR14" s="137" t="s">
        <v>9328</v>
      </c>
      <c r="MLS14" s="137" t="s">
        <v>9329</v>
      </c>
      <c r="MLT14" s="137" t="s">
        <v>9330</v>
      </c>
      <c r="MLU14" s="137" t="s">
        <v>9331</v>
      </c>
      <c r="MLV14" s="137" t="s">
        <v>9332</v>
      </c>
      <c r="MLW14" s="137" t="s">
        <v>9333</v>
      </c>
      <c r="MLX14" s="137" t="s">
        <v>9334</v>
      </c>
      <c r="MLY14" s="137" t="s">
        <v>9335</v>
      </c>
      <c r="MLZ14" s="137" t="s">
        <v>9336</v>
      </c>
      <c r="MMA14" s="137" t="s">
        <v>9337</v>
      </c>
      <c r="MMB14" s="137" t="s">
        <v>9338</v>
      </c>
      <c r="MMC14" s="137" t="s">
        <v>9339</v>
      </c>
      <c r="MMD14" s="137" t="s">
        <v>9340</v>
      </c>
      <c r="MME14" s="137" t="s">
        <v>9341</v>
      </c>
      <c r="MMF14" s="137" t="s">
        <v>9342</v>
      </c>
      <c r="MMG14" s="137" t="s">
        <v>9343</v>
      </c>
      <c r="MMH14" s="137" t="s">
        <v>9344</v>
      </c>
      <c r="MMI14" s="137" t="s">
        <v>9345</v>
      </c>
      <c r="MMJ14" s="137" t="s">
        <v>9346</v>
      </c>
      <c r="MMK14" s="137" t="s">
        <v>9347</v>
      </c>
      <c r="MML14" s="137" t="s">
        <v>9348</v>
      </c>
      <c r="MMM14" s="137" t="s">
        <v>9349</v>
      </c>
      <c r="MMN14" s="137" t="s">
        <v>9350</v>
      </c>
      <c r="MMO14" s="137" t="s">
        <v>9351</v>
      </c>
      <c r="MMP14" s="137" t="s">
        <v>9352</v>
      </c>
      <c r="MMQ14" s="137" t="s">
        <v>9353</v>
      </c>
      <c r="MMR14" s="137" t="s">
        <v>9354</v>
      </c>
      <c r="MMS14" s="137" t="s">
        <v>9355</v>
      </c>
      <c r="MMT14" s="137" t="s">
        <v>9356</v>
      </c>
      <c r="MMU14" s="137" t="s">
        <v>9357</v>
      </c>
      <c r="MMV14" s="137" t="s">
        <v>9358</v>
      </c>
      <c r="MMW14" s="137" t="s">
        <v>9359</v>
      </c>
      <c r="MMX14" s="137" t="s">
        <v>9360</v>
      </c>
      <c r="MMY14" s="137" t="s">
        <v>9361</v>
      </c>
      <c r="MMZ14" s="137" t="s">
        <v>9362</v>
      </c>
      <c r="MNA14" s="137" t="s">
        <v>9363</v>
      </c>
      <c r="MNB14" s="137" t="s">
        <v>9364</v>
      </c>
      <c r="MNC14" s="137" t="s">
        <v>9365</v>
      </c>
      <c r="MND14" s="137" t="s">
        <v>9366</v>
      </c>
      <c r="MNE14" s="137" t="s">
        <v>9367</v>
      </c>
      <c r="MNF14" s="137" t="s">
        <v>9368</v>
      </c>
      <c r="MNG14" s="137" t="s">
        <v>9369</v>
      </c>
      <c r="MNH14" s="137" t="s">
        <v>9370</v>
      </c>
      <c r="MNI14" s="137" t="s">
        <v>9371</v>
      </c>
      <c r="MNJ14" s="137" t="s">
        <v>9372</v>
      </c>
      <c r="MNK14" s="137" t="s">
        <v>9373</v>
      </c>
      <c r="MNL14" s="137" t="s">
        <v>9374</v>
      </c>
      <c r="MNM14" s="137" t="s">
        <v>9375</v>
      </c>
      <c r="MNN14" s="137" t="s">
        <v>9376</v>
      </c>
      <c r="MNO14" s="137" t="s">
        <v>9377</v>
      </c>
      <c r="MNP14" s="137" t="s">
        <v>9378</v>
      </c>
      <c r="MNQ14" s="137" t="s">
        <v>9379</v>
      </c>
      <c r="MNR14" s="137" t="s">
        <v>9380</v>
      </c>
      <c r="MNS14" s="137" t="s">
        <v>9381</v>
      </c>
      <c r="MNT14" s="137" t="s">
        <v>9382</v>
      </c>
      <c r="MNU14" s="137" t="s">
        <v>9383</v>
      </c>
      <c r="MNV14" s="137" t="s">
        <v>9384</v>
      </c>
      <c r="MNW14" s="137" t="s">
        <v>9385</v>
      </c>
      <c r="MNX14" s="137" t="s">
        <v>9386</v>
      </c>
      <c r="MNY14" s="137" t="s">
        <v>9387</v>
      </c>
      <c r="MNZ14" s="137" t="s">
        <v>9388</v>
      </c>
      <c r="MOA14" s="137" t="s">
        <v>9389</v>
      </c>
      <c r="MOB14" s="137" t="s">
        <v>9390</v>
      </c>
      <c r="MOC14" s="137" t="s">
        <v>9391</v>
      </c>
      <c r="MOD14" s="137" t="s">
        <v>9392</v>
      </c>
      <c r="MOE14" s="137" t="s">
        <v>9393</v>
      </c>
      <c r="MOF14" s="137" t="s">
        <v>9394</v>
      </c>
      <c r="MOG14" s="137" t="s">
        <v>9395</v>
      </c>
      <c r="MOH14" s="137" t="s">
        <v>9396</v>
      </c>
      <c r="MOI14" s="137" t="s">
        <v>9397</v>
      </c>
      <c r="MOJ14" s="137" t="s">
        <v>9398</v>
      </c>
      <c r="MOK14" s="137" t="s">
        <v>9399</v>
      </c>
      <c r="MOL14" s="137" t="s">
        <v>9400</v>
      </c>
      <c r="MOM14" s="137" t="s">
        <v>9401</v>
      </c>
      <c r="MON14" s="137" t="s">
        <v>9402</v>
      </c>
      <c r="MOO14" s="137" t="s">
        <v>9403</v>
      </c>
      <c r="MOP14" s="137" t="s">
        <v>9404</v>
      </c>
      <c r="MOQ14" s="137" t="s">
        <v>9405</v>
      </c>
      <c r="MOR14" s="137" t="s">
        <v>9406</v>
      </c>
      <c r="MOS14" s="137" t="s">
        <v>9407</v>
      </c>
      <c r="MOT14" s="137" t="s">
        <v>9408</v>
      </c>
      <c r="MOU14" s="137" t="s">
        <v>9409</v>
      </c>
      <c r="MOV14" s="137" t="s">
        <v>9410</v>
      </c>
      <c r="MOW14" s="137" t="s">
        <v>9411</v>
      </c>
      <c r="MOX14" s="137" t="s">
        <v>9412</v>
      </c>
      <c r="MOY14" s="137" t="s">
        <v>9413</v>
      </c>
      <c r="MOZ14" s="137" t="s">
        <v>9414</v>
      </c>
      <c r="MPA14" s="137" t="s">
        <v>9415</v>
      </c>
      <c r="MPB14" s="137" t="s">
        <v>9416</v>
      </c>
      <c r="MPC14" s="137" t="s">
        <v>9417</v>
      </c>
      <c r="MPD14" s="137" t="s">
        <v>9418</v>
      </c>
      <c r="MPE14" s="137" t="s">
        <v>9419</v>
      </c>
      <c r="MPF14" s="137" t="s">
        <v>9420</v>
      </c>
      <c r="MPG14" s="137" t="s">
        <v>9421</v>
      </c>
      <c r="MPH14" s="137" t="s">
        <v>9422</v>
      </c>
      <c r="MPI14" s="137" t="s">
        <v>9423</v>
      </c>
      <c r="MPJ14" s="137" t="s">
        <v>9424</v>
      </c>
      <c r="MPK14" s="137" t="s">
        <v>9425</v>
      </c>
      <c r="MPL14" s="137" t="s">
        <v>9426</v>
      </c>
      <c r="MPM14" s="137" t="s">
        <v>9427</v>
      </c>
      <c r="MPN14" s="137" t="s">
        <v>9428</v>
      </c>
      <c r="MPO14" s="137" t="s">
        <v>9429</v>
      </c>
      <c r="MPP14" s="137" t="s">
        <v>9430</v>
      </c>
      <c r="MPQ14" s="137" t="s">
        <v>9431</v>
      </c>
      <c r="MPR14" s="137" t="s">
        <v>9432</v>
      </c>
      <c r="MPS14" s="137" t="s">
        <v>9433</v>
      </c>
      <c r="MPT14" s="137" t="s">
        <v>9434</v>
      </c>
      <c r="MPU14" s="137" t="s">
        <v>9435</v>
      </c>
      <c r="MPV14" s="137" t="s">
        <v>9436</v>
      </c>
      <c r="MPW14" s="137" t="s">
        <v>9437</v>
      </c>
      <c r="MPX14" s="137" t="s">
        <v>9438</v>
      </c>
      <c r="MPY14" s="137" t="s">
        <v>9439</v>
      </c>
      <c r="MPZ14" s="137" t="s">
        <v>9440</v>
      </c>
      <c r="MQA14" s="137" t="s">
        <v>9441</v>
      </c>
      <c r="MQB14" s="137" t="s">
        <v>9442</v>
      </c>
      <c r="MQC14" s="137" t="s">
        <v>9443</v>
      </c>
      <c r="MQD14" s="137" t="s">
        <v>9444</v>
      </c>
      <c r="MQE14" s="137" t="s">
        <v>9445</v>
      </c>
      <c r="MQF14" s="137" t="s">
        <v>9446</v>
      </c>
      <c r="MQG14" s="137" t="s">
        <v>9447</v>
      </c>
      <c r="MQH14" s="137" t="s">
        <v>9448</v>
      </c>
      <c r="MQI14" s="137" t="s">
        <v>9449</v>
      </c>
      <c r="MQJ14" s="137" t="s">
        <v>9450</v>
      </c>
      <c r="MQK14" s="137" t="s">
        <v>9451</v>
      </c>
      <c r="MQL14" s="137" t="s">
        <v>9452</v>
      </c>
      <c r="MQM14" s="137" t="s">
        <v>9453</v>
      </c>
      <c r="MQN14" s="137" t="s">
        <v>9454</v>
      </c>
      <c r="MQO14" s="137" t="s">
        <v>9455</v>
      </c>
      <c r="MQP14" s="137" t="s">
        <v>9456</v>
      </c>
      <c r="MQQ14" s="137" t="s">
        <v>9457</v>
      </c>
      <c r="MQR14" s="137" t="s">
        <v>9458</v>
      </c>
      <c r="MQS14" s="137" t="s">
        <v>9459</v>
      </c>
      <c r="MQT14" s="137" t="s">
        <v>9460</v>
      </c>
      <c r="MQU14" s="137" t="s">
        <v>9461</v>
      </c>
      <c r="MQV14" s="137" t="s">
        <v>9462</v>
      </c>
      <c r="MQW14" s="137" t="s">
        <v>9463</v>
      </c>
      <c r="MQX14" s="137" t="s">
        <v>9464</v>
      </c>
      <c r="MQY14" s="137" t="s">
        <v>9465</v>
      </c>
      <c r="MQZ14" s="137" t="s">
        <v>9466</v>
      </c>
      <c r="MRA14" s="137" t="s">
        <v>9467</v>
      </c>
      <c r="MRB14" s="137" t="s">
        <v>9468</v>
      </c>
      <c r="MRC14" s="137" t="s">
        <v>9469</v>
      </c>
      <c r="MRD14" s="137" t="s">
        <v>9470</v>
      </c>
      <c r="MRE14" s="137" t="s">
        <v>9471</v>
      </c>
      <c r="MRF14" s="137" t="s">
        <v>9472</v>
      </c>
      <c r="MRG14" s="137" t="s">
        <v>9473</v>
      </c>
      <c r="MRH14" s="137" t="s">
        <v>9474</v>
      </c>
      <c r="MRI14" s="137" t="s">
        <v>9475</v>
      </c>
      <c r="MRJ14" s="137" t="s">
        <v>9476</v>
      </c>
      <c r="MRK14" s="137" t="s">
        <v>9477</v>
      </c>
      <c r="MRL14" s="137" t="s">
        <v>9478</v>
      </c>
      <c r="MRM14" s="137" t="s">
        <v>9479</v>
      </c>
      <c r="MRN14" s="137" t="s">
        <v>9480</v>
      </c>
      <c r="MRO14" s="137" t="s">
        <v>9481</v>
      </c>
      <c r="MRP14" s="137" t="s">
        <v>9482</v>
      </c>
      <c r="MRQ14" s="137" t="s">
        <v>9483</v>
      </c>
      <c r="MRR14" s="137" t="s">
        <v>9484</v>
      </c>
      <c r="MRS14" s="137" t="s">
        <v>9485</v>
      </c>
      <c r="MRT14" s="137" t="s">
        <v>9486</v>
      </c>
      <c r="MRU14" s="137" t="s">
        <v>9487</v>
      </c>
      <c r="MRV14" s="137" t="s">
        <v>9488</v>
      </c>
      <c r="MRW14" s="137" t="s">
        <v>9489</v>
      </c>
      <c r="MRX14" s="137" t="s">
        <v>9490</v>
      </c>
      <c r="MRY14" s="137" t="s">
        <v>9491</v>
      </c>
      <c r="MRZ14" s="137" t="s">
        <v>9492</v>
      </c>
      <c r="MSA14" s="137" t="s">
        <v>9493</v>
      </c>
      <c r="MSB14" s="137" t="s">
        <v>9494</v>
      </c>
      <c r="MSC14" s="137" t="s">
        <v>9495</v>
      </c>
      <c r="MSD14" s="137" t="s">
        <v>9496</v>
      </c>
      <c r="MSE14" s="137" t="s">
        <v>9497</v>
      </c>
      <c r="MSF14" s="137" t="s">
        <v>9498</v>
      </c>
      <c r="MSG14" s="137" t="s">
        <v>9499</v>
      </c>
      <c r="MSH14" s="137" t="s">
        <v>9500</v>
      </c>
      <c r="MSI14" s="137" t="s">
        <v>9501</v>
      </c>
      <c r="MSJ14" s="137" t="s">
        <v>9502</v>
      </c>
      <c r="MSK14" s="137" t="s">
        <v>9503</v>
      </c>
      <c r="MSL14" s="137" t="s">
        <v>9504</v>
      </c>
      <c r="MSM14" s="137" t="s">
        <v>9505</v>
      </c>
      <c r="MSN14" s="137" t="s">
        <v>9506</v>
      </c>
      <c r="MSO14" s="137" t="s">
        <v>9507</v>
      </c>
      <c r="MSP14" s="137" t="s">
        <v>9508</v>
      </c>
      <c r="MSQ14" s="137" t="s">
        <v>9509</v>
      </c>
      <c r="MSR14" s="137" t="s">
        <v>9510</v>
      </c>
      <c r="MSS14" s="137" t="s">
        <v>9511</v>
      </c>
      <c r="MST14" s="137" t="s">
        <v>9512</v>
      </c>
      <c r="MSU14" s="137" t="s">
        <v>9513</v>
      </c>
      <c r="MSV14" s="137" t="s">
        <v>9514</v>
      </c>
      <c r="MSW14" s="137" t="s">
        <v>9515</v>
      </c>
      <c r="MSX14" s="137" t="s">
        <v>9516</v>
      </c>
      <c r="MSY14" s="137" t="s">
        <v>9517</v>
      </c>
      <c r="MSZ14" s="137" t="s">
        <v>9518</v>
      </c>
      <c r="MTA14" s="137" t="s">
        <v>9519</v>
      </c>
      <c r="MTB14" s="137" t="s">
        <v>9520</v>
      </c>
      <c r="MTC14" s="137" t="s">
        <v>9521</v>
      </c>
      <c r="MTD14" s="137" t="s">
        <v>9522</v>
      </c>
      <c r="MTE14" s="137" t="s">
        <v>9523</v>
      </c>
      <c r="MTF14" s="137" t="s">
        <v>9524</v>
      </c>
      <c r="MTG14" s="137" t="s">
        <v>9525</v>
      </c>
      <c r="MTH14" s="137" t="s">
        <v>9526</v>
      </c>
      <c r="MTI14" s="137" t="s">
        <v>9527</v>
      </c>
      <c r="MTJ14" s="137" t="s">
        <v>9528</v>
      </c>
      <c r="MTK14" s="137" t="s">
        <v>9529</v>
      </c>
      <c r="MTL14" s="137" t="s">
        <v>9530</v>
      </c>
      <c r="MTM14" s="137" t="s">
        <v>9531</v>
      </c>
      <c r="MTN14" s="137" t="s">
        <v>9532</v>
      </c>
      <c r="MTO14" s="137" t="s">
        <v>9533</v>
      </c>
      <c r="MTP14" s="137" t="s">
        <v>9534</v>
      </c>
      <c r="MTQ14" s="137" t="s">
        <v>9535</v>
      </c>
      <c r="MTR14" s="137" t="s">
        <v>9536</v>
      </c>
      <c r="MTS14" s="137" t="s">
        <v>9537</v>
      </c>
      <c r="MTT14" s="137" t="s">
        <v>9538</v>
      </c>
      <c r="MTU14" s="137" t="s">
        <v>9539</v>
      </c>
      <c r="MTV14" s="137" t="s">
        <v>9540</v>
      </c>
      <c r="MTW14" s="137" t="s">
        <v>9541</v>
      </c>
      <c r="MTX14" s="137" t="s">
        <v>9542</v>
      </c>
      <c r="MTY14" s="137" t="s">
        <v>9543</v>
      </c>
      <c r="MTZ14" s="137" t="s">
        <v>9544</v>
      </c>
      <c r="MUA14" s="137" t="s">
        <v>9545</v>
      </c>
      <c r="MUB14" s="137" t="s">
        <v>9546</v>
      </c>
      <c r="MUC14" s="137" t="s">
        <v>9547</v>
      </c>
      <c r="MUD14" s="137" t="s">
        <v>9548</v>
      </c>
      <c r="MUE14" s="137" t="s">
        <v>9549</v>
      </c>
      <c r="MUF14" s="137" t="s">
        <v>9550</v>
      </c>
      <c r="MUG14" s="137" t="s">
        <v>9551</v>
      </c>
      <c r="MUH14" s="137" t="s">
        <v>9552</v>
      </c>
      <c r="MUI14" s="137" t="s">
        <v>9553</v>
      </c>
      <c r="MUJ14" s="137" t="s">
        <v>9554</v>
      </c>
      <c r="MUK14" s="137" t="s">
        <v>9555</v>
      </c>
      <c r="MUL14" s="137" t="s">
        <v>9556</v>
      </c>
      <c r="MUM14" s="137" t="s">
        <v>9557</v>
      </c>
      <c r="MUN14" s="137" t="s">
        <v>9558</v>
      </c>
      <c r="MUO14" s="137" t="s">
        <v>9559</v>
      </c>
      <c r="MUP14" s="137" t="s">
        <v>9560</v>
      </c>
      <c r="MUQ14" s="137" t="s">
        <v>9561</v>
      </c>
      <c r="MUR14" s="137" t="s">
        <v>9562</v>
      </c>
      <c r="MUS14" s="137" t="s">
        <v>9563</v>
      </c>
      <c r="MUT14" s="137" t="s">
        <v>9564</v>
      </c>
      <c r="MUU14" s="137" t="s">
        <v>9565</v>
      </c>
      <c r="MUV14" s="137" t="s">
        <v>9566</v>
      </c>
      <c r="MUW14" s="137" t="s">
        <v>9567</v>
      </c>
      <c r="MUX14" s="137" t="s">
        <v>9568</v>
      </c>
      <c r="MUY14" s="137" t="s">
        <v>9569</v>
      </c>
      <c r="MUZ14" s="137" t="s">
        <v>9570</v>
      </c>
      <c r="MVA14" s="137" t="s">
        <v>9571</v>
      </c>
      <c r="MVB14" s="137" t="s">
        <v>9572</v>
      </c>
      <c r="MVC14" s="137" t="s">
        <v>9573</v>
      </c>
      <c r="MVD14" s="137" t="s">
        <v>9574</v>
      </c>
      <c r="MVE14" s="137" t="s">
        <v>9575</v>
      </c>
      <c r="MVF14" s="137" t="s">
        <v>9576</v>
      </c>
      <c r="MVG14" s="137" t="s">
        <v>9577</v>
      </c>
      <c r="MVH14" s="137" t="s">
        <v>9578</v>
      </c>
      <c r="MVI14" s="137" t="s">
        <v>9579</v>
      </c>
      <c r="MVJ14" s="137" t="s">
        <v>9580</v>
      </c>
      <c r="MVK14" s="137" t="s">
        <v>9581</v>
      </c>
      <c r="MVL14" s="137" t="s">
        <v>9582</v>
      </c>
      <c r="MVM14" s="137" t="s">
        <v>9583</v>
      </c>
      <c r="MVN14" s="137" t="s">
        <v>9584</v>
      </c>
      <c r="MVO14" s="137" t="s">
        <v>9585</v>
      </c>
      <c r="MVP14" s="137" t="s">
        <v>9586</v>
      </c>
      <c r="MVQ14" s="137" t="s">
        <v>9587</v>
      </c>
      <c r="MVR14" s="137" t="s">
        <v>9588</v>
      </c>
      <c r="MVS14" s="137" t="s">
        <v>9589</v>
      </c>
      <c r="MVT14" s="137" t="s">
        <v>9590</v>
      </c>
      <c r="MVU14" s="137" t="s">
        <v>9591</v>
      </c>
      <c r="MVV14" s="137" t="s">
        <v>9592</v>
      </c>
      <c r="MVW14" s="137" t="s">
        <v>9593</v>
      </c>
      <c r="MVX14" s="137" t="s">
        <v>9594</v>
      </c>
      <c r="MVY14" s="137" t="s">
        <v>9595</v>
      </c>
      <c r="MVZ14" s="137" t="s">
        <v>9596</v>
      </c>
      <c r="MWA14" s="137" t="s">
        <v>9597</v>
      </c>
      <c r="MWB14" s="137" t="s">
        <v>9598</v>
      </c>
      <c r="MWC14" s="137" t="s">
        <v>9599</v>
      </c>
      <c r="MWD14" s="137" t="s">
        <v>9600</v>
      </c>
      <c r="MWE14" s="137" t="s">
        <v>9601</v>
      </c>
      <c r="MWF14" s="137" t="s">
        <v>9602</v>
      </c>
      <c r="MWG14" s="137" t="s">
        <v>9603</v>
      </c>
      <c r="MWH14" s="137" t="s">
        <v>9604</v>
      </c>
      <c r="MWI14" s="137" t="s">
        <v>9605</v>
      </c>
      <c r="MWJ14" s="137" t="s">
        <v>9606</v>
      </c>
      <c r="MWK14" s="137" t="s">
        <v>9607</v>
      </c>
      <c r="MWL14" s="137" t="s">
        <v>9608</v>
      </c>
      <c r="MWM14" s="137" t="s">
        <v>9609</v>
      </c>
      <c r="MWN14" s="137" t="s">
        <v>9610</v>
      </c>
      <c r="MWO14" s="137" t="s">
        <v>9611</v>
      </c>
      <c r="MWP14" s="137" t="s">
        <v>9612</v>
      </c>
      <c r="MWQ14" s="137" t="s">
        <v>9613</v>
      </c>
      <c r="MWR14" s="137" t="s">
        <v>9614</v>
      </c>
      <c r="MWS14" s="137" t="s">
        <v>9615</v>
      </c>
      <c r="MWT14" s="137" t="s">
        <v>9616</v>
      </c>
      <c r="MWU14" s="137" t="s">
        <v>9617</v>
      </c>
      <c r="MWV14" s="137" t="s">
        <v>9618</v>
      </c>
      <c r="MWW14" s="137" t="s">
        <v>9619</v>
      </c>
      <c r="MWX14" s="137" t="s">
        <v>9620</v>
      </c>
      <c r="MWY14" s="137" t="s">
        <v>9621</v>
      </c>
      <c r="MWZ14" s="137" t="s">
        <v>9622</v>
      </c>
      <c r="MXA14" s="137" t="s">
        <v>9623</v>
      </c>
      <c r="MXB14" s="137" t="s">
        <v>9624</v>
      </c>
      <c r="MXC14" s="137" t="s">
        <v>9625</v>
      </c>
      <c r="MXD14" s="137" t="s">
        <v>9626</v>
      </c>
      <c r="MXE14" s="137" t="s">
        <v>9627</v>
      </c>
      <c r="MXF14" s="137" t="s">
        <v>9628</v>
      </c>
      <c r="MXG14" s="137" t="s">
        <v>9629</v>
      </c>
      <c r="MXH14" s="137" t="s">
        <v>9630</v>
      </c>
      <c r="MXI14" s="137" t="s">
        <v>9631</v>
      </c>
      <c r="MXJ14" s="137" t="s">
        <v>9632</v>
      </c>
      <c r="MXK14" s="137" t="s">
        <v>9633</v>
      </c>
      <c r="MXL14" s="137" t="s">
        <v>9634</v>
      </c>
      <c r="MXM14" s="137" t="s">
        <v>9635</v>
      </c>
      <c r="MXN14" s="137" t="s">
        <v>9636</v>
      </c>
      <c r="MXO14" s="137" t="s">
        <v>9637</v>
      </c>
      <c r="MXP14" s="137" t="s">
        <v>9638</v>
      </c>
      <c r="MXQ14" s="137" t="s">
        <v>9639</v>
      </c>
      <c r="MXR14" s="137" t="s">
        <v>9640</v>
      </c>
      <c r="MXS14" s="137" t="s">
        <v>9641</v>
      </c>
      <c r="MXT14" s="137" t="s">
        <v>9642</v>
      </c>
      <c r="MXU14" s="137" t="s">
        <v>9643</v>
      </c>
      <c r="MXV14" s="137" t="s">
        <v>9644</v>
      </c>
      <c r="MXW14" s="137" t="s">
        <v>9645</v>
      </c>
      <c r="MXX14" s="137" t="s">
        <v>9646</v>
      </c>
      <c r="MXY14" s="137" t="s">
        <v>9647</v>
      </c>
      <c r="MXZ14" s="137" t="s">
        <v>9648</v>
      </c>
      <c r="MYA14" s="137" t="s">
        <v>9649</v>
      </c>
      <c r="MYB14" s="137" t="s">
        <v>9650</v>
      </c>
      <c r="MYC14" s="137" t="s">
        <v>9651</v>
      </c>
      <c r="MYD14" s="137" t="s">
        <v>9652</v>
      </c>
      <c r="MYE14" s="137" t="s">
        <v>9653</v>
      </c>
      <c r="MYF14" s="137" t="s">
        <v>9654</v>
      </c>
      <c r="MYG14" s="137" t="s">
        <v>9655</v>
      </c>
      <c r="MYH14" s="137" t="s">
        <v>9656</v>
      </c>
      <c r="MYI14" s="137" t="s">
        <v>9657</v>
      </c>
      <c r="MYJ14" s="137" t="s">
        <v>9658</v>
      </c>
      <c r="MYK14" s="137" t="s">
        <v>9659</v>
      </c>
      <c r="MYL14" s="137" t="s">
        <v>9660</v>
      </c>
      <c r="MYM14" s="137" t="s">
        <v>9661</v>
      </c>
      <c r="MYN14" s="137" t="s">
        <v>9662</v>
      </c>
      <c r="MYO14" s="137" t="s">
        <v>9663</v>
      </c>
      <c r="MYP14" s="137" t="s">
        <v>9664</v>
      </c>
      <c r="MYQ14" s="137" t="s">
        <v>9665</v>
      </c>
      <c r="MYR14" s="137" t="s">
        <v>9666</v>
      </c>
      <c r="MYS14" s="137" t="s">
        <v>9667</v>
      </c>
      <c r="MYT14" s="137" t="s">
        <v>9668</v>
      </c>
      <c r="MYU14" s="137" t="s">
        <v>9669</v>
      </c>
      <c r="MYV14" s="137" t="s">
        <v>9670</v>
      </c>
      <c r="MYW14" s="137" t="s">
        <v>9671</v>
      </c>
      <c r="MYX14" s="137" t="s">
        <v>9672</v>
      </c>
      <c r="MYY14" s="137" t="s">
        <v>9673</v>
      </c>
      <c r="MYZ14" s="137" t="s">
        <v>9674</v>
      </c>
      <c r="MZA14" s="137" t="s">
        <v>9675</v>
      </c>
      <c r="MZB14" s="137" t="s">
        <v>9676</v>
      </c>
      <c r="MZC14" s="137" t="s">
        <v>9677</v>
      </c>
      <c r="MZD14" s="137" t="s">
        <v>9678</v>
      </c>
      <c r="MZE14" s="137" t="s">
        <v>9679</v>
      </c>
      <c r="MZF14" s="137" t="s">
        <v>9680</v>
      </c>
      <c r="MZG14" s="137" t="s">
        <v>9681</v>
      </c>
      <c r="MZH14" s="137" t="s">
        <v>9682</v>
      </c>
      <c r="MZI14" s="137" t="s">
        <v>9683</v>
      </c>
      <c r="MZJ14" s="137" t="s">
        <v>9684</v>
      </c>
      <c r="MZK14" s="137" t="s">
        <v>9685</v>
      </c>
      <c r="MZL14" s="137" t="s">
        <v>9686</v>
      </c>
      <c r="MZM14" s="137" t="s">
        <v>9687</v>
      </c>
      <c r="MZN14" s="137" t="s">
        <v>9688</v>
      </c>
      <c r="MZO14" s="137" t="s">
        <v>9689</v>
      </c>
      <c r="MZP14" s="137" t="s">
        <v>9690</v>
      </c>
      <c r="MZQ14" s="137" t="s">
        <v>9691</v>
      </c>
      <c r="MZR14" s="137" t="s">
        <v>9692</v>
      </c>
      <c r="MZS14" s="137" t="s">
        <v>9693</v>
      </c>
      <c r="MZT14" s="137" t="s">
        <v>9694</v>
      </c>
      <c r="MZU14" s="137" t="s">
        <v>9695</v>
      </c>
      <c r="MZV14" s="137" t="s">
        <v>9696</v>
      </c>
      <c r="MZW14" s="137" t="s">
        <v>9697</v>
      </c>
      <c r="MZX14" s="137" t="s">
        <v>9698</v>
      </c>
      <c r="MZY14" s="137" t="s">
        <v>9699</v>
      </c>
      <c r="MZZ14" s="137" t="s">
        <v>9700</v>
      </c>
      <c r="NAA14" s="137" t="s">
        <v>9701</v>
      </c>
      <c r="NAB14" s="137" t="s">
        <v>9702</v>
      </c>
      <c r="NAC14" s="137" t="s">
        <v>9703</v>
      </c>
      <c r="NAD14" s="137" t="s">
        <v>9704</v>
      </c>
      <c r="NAE14" s="137" t="s">
        <v>9705</v>
      </c>
      <c r="NAF14" s="137" t="s">
        <v>9706</v>
      </c>
      <c r="NAG14" s="137" t="s">
        <v>9707</v>
      </c>
      <c r="NAH14" s="137" t="s">
        <v>9708</v>
      </c>
      <c r="NAI14" s="137" t="s">
        <v>9709</v>
      </c>
      <c r="NAJ14" s="137" t="s">
        <v>9710</v>
      </c>
      <c r="NAK14" s="137" t="s">
        <v>9711</v>
      </c>
      <c r="NAL14" s="137" t="s">
        <v>9712</v>
      </c>
      <c r="NAM14" s="137" t="s">
        <v>9713</v>
      </c>
      <c r="NAN14" s="137" t="s">
        <v>9714</v>
      </c>
      <c r="NAO14" s="137" t="s">
        <v>9715</v>
      </c>
      <c r="NAP14" s="137" t="s">
        <v>9716</v>
      </c>
      <c r="NAQ14" s="137" t="s">
        <v>9717</v>
      </c>
      <c r="NAR14" s="137" t="s">
        <v>9718</v>
      </c>
      <c r="NAS14" s="137" t="s">
        <v>9719</v>
      </c>
      <c r="NAT14" s="137" t="s">
        <v>9720</v>
      </c>
      <c r="NAU14" s="137" t="s">
        <v>9721</v>
      </c>
      <c r="NAV14" s="137" t="s">
        <v>9722</v>
      </c>
      <c r="NAW14" s="137" t="s">
        <v>9723</v>
      </c>
      <c r="NAX14" s="137" t="s">
        <v>9724</v>
      </c>
      <c r="NAY14" s="137" t="s">
        <v>9725</v>
      </c>
      <c r="NAZ14" s="137" t="s">
        <v>9726</v>
      </c>
      <c r="NBA14" s="137" t="s">
        <v>9727</v>
      </c>
      <c r="NBB14" s="137" t="s">
        <v>9728</v>
      </c>
      <c r="NBC14" s="137" t="s">
        <v>9729</v>
      </c>
      <c r="NBD14" s="137" t="s">
        <v>9730</v>
      </c>
      <c r="NBE14" s="137" t="s">
        <v>9731</v>
      </c>
      <c r="NBF14" s="137" t="s">
        <v>9732</v>
      </c>
      <c r="NBG14" s="137" t="s">
        <v>9733</v>
      </c>
      <c r="NBH14" s="137" t="s">
        <v>9734</v>
      </c>
      <c r="NBI14" s="137" t="s">
        <v>9735</v>
      </c>
      <c r="NBJ14" s="137" t="s">
        <v>9736</v>
      </c>
      <c r="NBK14" s="137" t="s">
        <v>9737</v>
      </c>
      <c r="NBL14" s="137" t="s">
        <v>9738</v>
      </c>
      <c r="NBM14" s="137" t="s">
        <v>9739</v>
      </c>
      <c r="NBN14" s="137" t="s">
        <v>9740</v>
      </c>
      <c r="NBO14" s="137" t="s">
        <v>9741</v>
      </c>
      <c r="NBP14" s="137" t="s">
        <v>9742</v>
      </c>
      <c r="NBQ14" s="137" t="s">
        <v>9743</v>
      </c>
      <c r="NBR14" s="137" t="s">
        <v>9744</v>
      </c>
      <c r="NBS14" s="137" t="s">
        <v>9745</v>
      </c>
      <c r="NBT14" s="137" t="s">
        <v>9746</v>
      </c>
      <c r="NBU14" s="137" t="s">
        <v>9747</v>
      </c>
      <c r="NBV14" s="137" t="s">
        <v>9748</v>
      </c>
      <c r="NBW14" s="137" t="s">
        <v>9749</v>
      </c>
      <c r="NBX14" s="137" t="s">
        <v>9750</v>
      </c>
      <c r="NBY14" s="137" t="s">
        <v>9751</v>
      </c>
      <c r="NBZ14" s="137" t="s">
        <v>9752</v>
      </c>
      <c r="NCA14" s="137" t="s">
        <v>9753</v>
      </c>
      <c r="NCB14" s="137" t="s">
        <v>9754</v>
      </c>
      <c r="NCC14" s="137" t="s">
        <v>9755</v>
      </c>
      <c r="NCD14" s="137" t="s">
        <v>9756</v>
      </c>
      <c r="NCE14" s="137" t="s">
        <v>9757</v>
      </c>
      <c r="NCF14" s="137" t="s">
        <v>9758</v>
      </c>
      <c r="NCG14" s="137" t="s">
        <v>9759</v>
      </c>
      <c r="NCH14" s="137" t="s">
        <v>9760</v>
      </c>
      <c r="NCI14" s="137" t="s">
        <v>9761</v>
      </c>
      <c r="NCJ14" s="137" t="s">
        <v>9762</v>
      </c>
      <c r="NCK14" s="137" t="s">
        <v>9763</v>
      </c>
      <c r="NCL14" s="137" t="s">
        <v>9764</v>
      </c>
      <c r="NCM14" s="137" t="s">
        <v>9765</v>
      </c>
      <c r="NCN14" s="137" t="s">
        <v>9766</v>
      </c>
      <c r="NCO14" s="137" t="s">
        <v>9767</v>
      </c>
      <c r="NCP14" s="137" t="s">
        <v>9768</v>
      </c>
      <c r="NCQ14" s="137" t="s">
        <v>9769</v>
      </c>
      <c r="NCR14" s="137" t="s">
        <v>9770</v>
      </c>
      <c r="NCS14" s="137" t="s">
        <v>9771</v>
      </c>
      <c r="NCT14" s="137" t="s">
        <v>9772</v>
      </c>
      <c r="NCU14" s="137" t="s">
        <v>9773</v>
      </c>
      <c r="NCV14" s="137" t="s">
        <v>9774</v>
      </c>
      <c r="NCW14" s="137" t="s">
        <v>9775</v>
      </c>
      <c r="NCX14" s="137" t="s">
        <v>9776</v>
      </c>
      <c r="NCY14" s="137" t="s">
        <v>9777</v>
      </c>
      <c r="NCZ14" s="137" t="s">
        <v>9778</v>
      </c>
      <c r="NDA14" s="137" t="s">
        <v>9779</v>
      </c>
      <c r="NDB14" s="137" t="s">
        <v>9780</v>
      </c>
      <c r="NDC14" s="137" t="s">
        <v>9781</v>
      </c>
      <c r="NDD14" s="137" t="s">
        <v>9782</v>
      </c>
      <c r="NDE14" s="137" t="s">
        <v>9783</v>
      </c>
      <c r="NDF14" s="137" t="s">
        <v>9784</v>
      </c>
      <c r="NDG14" s="137" t="s">
        <v>9785</v>
      </c>
      <c r="NDH14" s="137" t="s">
        <v>9786</v>
      </c>
      <c r="NDI14" s="137" t="s">
        <v>9787</v>
      </c>
      <c r="NDJ14" s="137" t="s">
        <v>9788</v>
      </c>
      <c r="NDK14" s="137" t="s">
        <v>9789</v>
      </c>
      <c r="NDL14" s="137" t="s">
        <v>9790</v>
      </c>
      <c r="NDM14" s="137" t="s">
        <v>9791</v>
      </c>
      <c r="NDN14" s="137" t="s">
        <v>9792</v>
      </c>
      <c r="NDO14" s="137" t="s">
        <v>9793</v>
      </c>
      <c r="NDP14" s="137" t="s">
        <v>9794</v>
      </c>
      <c r="NDQ14" s="137" t="s">
        <v>9795</v>
      </c>
      <c r="NDR14" s="137" t="s">
        <v>9796</v>
      </c>
      <c r="NDS14" s="137" t="s">
        <v>9797</v>
      </c>
      <c r="NDT14" s="137" t="s">
        <v>9798</v>
      </c>
      <c r="NDU14" s="137" t="s">
        <v>9799</v>
      </c>
      <c r="NDV14" s="137" t="s">
        <v>9800</v>
      </c>
      <c r="NDW14" s="137" t="s">
        <v>9801</v>
      </c>
      <c r="NDX14" s="137" t="s">
        <v>9802</v>
      </c>
      <c r="NDY14" s="137" t="s">
        <v>9803</v>
      </c>
      <c r="NDZ14" s="137" t="s">
        <v>9804</v>
      </c>
      <c r="NEA14" s="137" t="s">
        <v>9805</v>
      </c>
      <c r="NEB14" s="137" t="s">
        <v>9806</v>
      </c>
      <c r="NEC14" s="137" t="s">
        <v>9807</v>
      </c>
      <c r="NED14" s="137" t="s">
        <v>9808</v>
      </c>
      <c r="NEE14" s="137" t="s">
        <v>9809</v>
      </c>
      <c r="NEF14" s="137" t="s">
        <v>9810</v>
      </c>
      <c r="NEG14" s="137" t="s">
        <v>9811</v>
      </c>
      <c r="NEH14" s="137" t="s">
        <v>9812</v>
      </c>
      <c r="NEI14" s="137" t="s">
        <v>9813</v>
      </c>
      <c r="NEJ14" s="137" t="s">
        <v>9814</v>
      </c>
      <c r="NEK14" s="137" t="s">
        <v>9815</v>
      </c>
      <c r="NEL14" s="137" t="s">
        <v>9816</v>
      </c>
      <c r="NEM14" s="137" t="s">
        <v>9817</v>
      </c>
      <c r="NEN14" s="137" t="s">
        <v>9818</v>
      </c>
      <c r="NEO14" s="137" t="s">
        <v>9819</v>
      </c>
      <c r="NEP14" s="137" t="s">
        <v>9820</v>
      </c>
      <c r="NEQ14" s="137" t="s">
        <v>9821</v>
      </c>
      <c r="NER14" s="137" t="s">
        <v>9822</v>
      </c>
      <c r="NES14" s="137" t="s">
        <v>9823</v>
      </c>
      <c r="NET14" s="137" t="s">
        <v>9824</v>
      </c>
      <c r="NEU14" s="137" t="s">
        <v>9825</v>
      </c>
      <c r="NEV14" s="137" t="s">
        <v>9826</v>
      </c>
      <c r="NEW14" s="137" t="s">
        <v>9827</v>
      </c>
      <c r="NEX14" s="137" t="s">
        <v>9828</v>
      </c>
      <c r="NEY14" s="137" t="s">
        <v>9829</v>
      </c>
      <c r="NEZ14" s="137" t="s">
        <v>9830</v>
      </c>
      <c r="NFA14" s="137" t="s">
        <v>9831</v>
      </c>
      <c r="NFB14" s="137" t="s">
        <v>9832</v>
      </c>
      <c r="NFC14" s="137" t="s">
        <v>9833</v>
      </c>
      <c r="NFD14" s="137" t="s">
        <v>9834</v>
      </c>
      <c r="NFE14" s="137" t="s">
        <v>9835</v>
      </c>
      <c r="NFF14" s="137" t="s">
        <v>9836</v>
      </c>
      <c r="NFG14" s="137" t="s">
        <v>9837</v>
      </c>
      <c r="NFH14" s="137" t="s">
        <v>9838</v>
      </c>
      <c r="NFI14" s="137" t="s">
        <v>9839</v>
      </c>
      <c r="NFJ14" s="137" t="s">
        <v>9840</v>
      </c>
      <c r="NFK14" s="137" t="s">
        <v>9841</v>
      </c>
      <c r="NFL14" s="137" t="s">
        <v>9842</v>
      </c>
      <c r="NFM14" s="137" t="s">
        <v>9843</v>
      </c>
      <c r="NFN14" s="137" t="s">
        <v>9844</v>
      </c>
      <c r="NFO14" s="137" t="s">
        <v>9845</v>
      </c>
      <c r="NFP14" s="137" t="s">
        <v>9846</v>
      </c>
      <c r="NFQ14" s="137" t="s">
        <v>9847</v>
      </c>
      <c r="NFR14" s="137" t="s">
        <v>9848</v>
      </c>
      <c r="NFS14" s="137" t="s">
        <v>9849</v>
      </c>
      <c r="NFT14" s="137" t="s">
        <v>9850</v>
      </c>
      <c r="NFU14" s="137" t="s">
        <v>9851</v>
      </c>
      <c r="NFV14" s="137" t="s">
        <v>9852</v>
      </c>
      <c r="NFW14" s="137" t="s">
        <v>9853</v>
      </c>
      <c r="NFX14" s="137" t="s">
        <v>9854</v>
      </c>
      <c r="NFY14" s="137" t="s">
        <v>9855</v>
      </c>
      <c r="NFZ14" s="137" t="s">
        <v>9856</v>
      </c>
      <c r="NGA14" s="137" t="s">
        <v>9857</v>
      </c>
      <c r="NGB14" s="137" t="s">
        <v>9858</v>
      </c>
      <c r="NGC14" s="137" t="s">
        <v>9859</v>
      </c>
      <c r="NGD14" s="137" t="s">
        <v>9860</v>
      </c>
      <c r="NGE14" s="137" t="s">
        <v>9861</v>
      </c>
      <c r="NGF14" s="137" t="s">
        <v>9862</v>
      </c>
      <c r="NGG14" s="137" t="s">
        <v>9863</v>
      </c>
      <c r="NGH14" s="137" t="s">
        <v>9864</v>
      </c>
      <c r="NGI14" s="137" t="s">
        <v>9865</v>
      </c>
      <c r="NGJ14" s="137" t="s">
        <v>9866</v>
      </c>
      <c r="NGK14" s="137" t="s">
        <v>9867</v>
      </c>
      <c r="NGL14" s="137" t="s">
        <v>9868</v>
      </c>
      <c r="NGM14" s="137" t="s">
        <v>9869</v>
      </c>
      <c r="NGN14" s="137" t="s">
        <v>9870</v>
      </c>
      <c r="NGO14" s="137" t="s">
        <v>9871</v>
      </c>
      <c r="NGP14" s="137" t="s">
        <v>9872</v>
      </c>
      <c r="NGQ14" s="137" t="s">
        <v>9873</v>
      </c>
      <c r="NGR14" s="137" t="s">
        <v>9874</v>
      </c>
      <c r="NGS14" s="137" t="s">
        <v>9875</v>
      </c>
      <c r="NGT14" s="137" t="s">
        <v>9876</v>
      </c>
      <c r="NGU14" s="137" t="s">
        <v>9877</v>
      </c>
      <c r="NGV14" s="137" t="s">
        <v>9878</v>
      </c>
      <c r="NGW14" s="137" t="s">
        <v>9879</v>
      </c>
      <c r="NGX14" s="137" t="s">
        <v>9880</v>
      </c>
      <c r="NGY14" s="137" t="s">
        <v>9881</v>
      </c>
      <c r="NGZ14" s="137" t="s">
        <v>9882</v>
      </c>
      <c r="NHA14" s="137" t="s">
        <v>9883</v>
      </c>
      <c r="NHB14" s="137" t="s">
        <v>9884</v>
      </c>
      <c r="NHC14" s="137" t="s">
        <v>9885</v>
      </c>
      <c r="NHD14" s="137" t="s">
        <v>9886</v>
      </c>
      <c r="NHE14" s="137" t="s">
        <v>9887</v>
      </c>
      <c r="NHF14" s="137" t="s">
        <v>9888</v>
      </c>
      <c r="NHG14" s="137" t="s">
        <v>9889</v>
      </c>
      <c r="NHH14" s="137" t="s">
        <v>9890</v>
      </c>
      <c r="NHI14" s="137" t="s">
        <v>9891</v>
      </c>
      <c r="NHJ14" s="137" t="s">
        <v>9892</v>
      </c>
      <c r="NHK14" s="137" t="s">
        <v>9893</v>
      </c>
      <c r="NHL14" s="137" t="s">
        <v>9894</v>
      </c>
      <c r="NHM14" s="137" t="s">
        <v>9895</v>
      </c>
      <c r="NHN14" s="137" t="s">
        <v>9896</v>
      </c>
      <c r="NHO14" s="137" t="s">
        <v>9897</v>
      </c>
      <c r="NHP14" s="137" t="s">
        <v>9898</v>
      </c>
      <c r="NHQ14" s="137" t="s">
        <v>9899</v>
      </c>
      <c r="NHR14" s="137" t="s">
        <v>9900</v>
      </c>
      <c r="NHS14" s="137" t="s">
        <v>9901</v>
      </c>
      <c r="NHT14" s="137" t="s">
        <v>9902</v>
      </c>
      <c r="NHU14" s="137" t="s">
        <v>9903</v>
      </c>
      <c r="NHV14" s="137" t="s">
        <v>9904</v>
      </c>
      <c r="NHW14" s="137" t="s">
        <v>9905</v>
      </c>
      <c r="NHX14" s="137" t="s">
        <v>9906</v>
      </c>
      <c r="NHY14" s="137" t="s">
        <v>9907</v>
      </c>
      <c r="NHZ14" s="137" t="s">
        <v>9908</v>
      </c>
      <c r="NIA14" s="137" t="s">
        <v>9909</v>
      </c>
      <c r="NIB14" s="137" t="s">
        <v>9910</v>
      </c>
      <c r="NIC14" s="137" t="s">
        <v>9911</v>
      </c>
      <c r="NID14" s="137" t="s">
        <v>9912</v>
      </c>
      <c r="NIE14" s="137" t="s">
        <v>9913</v>
      </c>
      <c r="NIF14" s="137" t="s">
        <v>9914</v>
      </c>
      <c r="NIG14" s="137" t="s">
        <v>9915</v>
      </c>
      <c r="NIH14" s="137" t="s">
        <v>9916</v>
      </c>
      <c r="NII14" s="137" t="s">
        <v>9917</v>
      </c>
      <c r="NIJ14" s="137" t="s">
        <v>9918</v>
      </c>
      <c r="NIK14" s="137" t="s">
        <v>9919</v>
      </c>
      <c r="NIL14" s="137" t="s">
        <v>9920</v>
      </c>
      <c r="NIM14" s="137" t="s">
        <v>9921</v>
      </c>
      <c r="NIN14" s="137" t="s">
        <v>9922</v>
      </c>
      <c r="NIO14" s="137" t="s">
        <v>9923</v>
      </c>
      <c r="NIP14" s="137" t="s">
        <v>9924</v>
      </c>
      <c r="NIQ14" s="137" t="s">
        <v>9925</v>
      </c>
      <c r="NIR14" s="137" t="s">
        <v>9926</v>
      </c>
      <c r="NIS14" s="137" t="s">
        <v>9927</v>
      </c>
      <c r="NIT14" s="137" t="s">
        <v>9928</v>
      </c>
      <c r="NIU14" s="137" t="s">
        <v>9929</v>
      </c>
      <c r="NIV14" s="137" t="s">
        <v>9930</v>
      </c>
      <c r="NIW14" s="137" t="s">
        <v>9931</v>
      </c>
      <c r="NIX14" s="137" t="s">
        <v>9932</v>
      </c>
      <c r="NIY14" s="137" t="s">
        <v>9933</v>
      </c>
      <c r="NIZ14" s="137" t="s">
        <v>9934</v>
      </c>
      <c r="NJA14" s="137" t="s">
        <v>9935</v>
      </c>
      <c r="NJB14" s="137" t="s">
        <v>9936</v>
      </c>
      <c r="NJC14" s="137" t="s">
        <v>9937</v>
      </c>
      <c r="NJD14" s="137" t="s">
        <v>9938</v>
      </c>
      <c r="NJE14" s="137" t="s">
        <v>9939</v>
      </c>
      <c r="NJF14" s="137" t="s">
        <v>9940</v>
      </c>
      <c r="NJG14" s="137" t="s">
        <v>9941</v>
      </c>
      <c r="NJH14" s="137" t="s">
        <v>9942</v>
      </c>
      <c r="NJI14" s="137" t="s">
        <v>9943</v>
      </c>
      <c r="NJJ14" s="137" t="s">
        <v>9944</v>
      </c>
      <c r="NJK14" s="137" t="s">
        <v>9945</v>
      </c>
      <c r="NJL14" s="137" t="s">
        <v>9946</v>
      </c>
      <c r="NJM14" s="137" t="s">
        <v>9947</v>
      </c>
      <c r="NJN14" s="137" t="s">
        <v>9948</v>
      </c>
      <c r="NJO14" s="137" t="s">
        <v>9949</v>
      </c>
      <c r="NJP14" s="137" t="s">
        <v>9950</v>
      </c>
      <c r="NJQ14" s="137" t="s">
        <v>9951</v>
      </c>
      <c r="NJR14" s="137" t="s">
        <v>9952</v>
      </c>
      <c r="NJS14" s="137" t="s">
        <v>9953</v>
      </c>
      <c r="NJT14" s="137" t="s">
        <v>9954</v>
      </c>
      <c r="NJU14" s="137" t="s">
        <v>9955</v>
      </c>
      <c r="NJV14" s="137" t="s">
        <v>9956</v>
      </c>
      <c r="NJW14" s="137" t="s">
        <v>9957</v>
      </c>
      <c r="NJX14" s="137" t="s">
        <v>9958</v>
      </c>
      <c r="NJY14" s="137" t="s">
        <v>9959</v>
      </c>
      <c r="NJZ14" s="137" t="s">
        <v>9960</v>
      </c>
      <c r="NKA14" s="137" t="s">
        <v>9961</v>
      </c>
      <c r="NKB14" s="137" t="s">
        <v>9962</v>
      </c>
      <c r="NKC14" s="137" t="s">
        <v>9963</v>
      </c>
      <c r="NKD14" s="137" t="s">
        <v>9964</v>
      </c>
      <c r="NKE14" s="137" t="s">
        <v>9965</v>
      </c>
      <c r="NKF14" s="137" t="s">
        <v>9966</v>
      </c>
      <c r="NKG14" s="137" t="s">
        <v>9967</v>
      </c>
      <c r="NKH14" s="137" t="s">
        <v>9968</v>
      </c>
      <c r="NKI14" s="137" t="s">
        <v>9969</v>
      </c>
      <c r="NKJ14" s="137" t="s">
        <v>9970</v>
      </c>
      <c r="NKK14" s="137" t="s">
        <v>9971</v>
      </c>
      <c r="NKL14" s="137" t="s">
        <v>9972</v>
      </c>
      <c r="NKM14" s="137" t="s">
        <v>9973</v>
      </c>
      <c r="NKN14" s="137" t="s">
        <v>9974</v>
      </c>
      <c r="NKO14" s="137" t="s">
        <v>9975</v>
      </c>
      <c r="NKP14" s="137" t="s">
        <v>9976</v>
      </c>
      <c r="NKQ14" s="137" t="s">
        <v>9977</v>
      </c>
      <c r="NKR14" s="137" t="s">
        <v>9978</v>
      </c>
      <c r="NKS14" s="137" t="s">
        <v>9979</v>
      </c>
      <c r="NKT14" s="137" t="s">
        <v>9980</v>
      </c>
      <c r="NKU14" s="137" t="s">
        <v>9981</v>
      </c>
      <c r="NKV14" s="137" t="s">
        <v>9982</v>
      </c>
      <c r="NKW14" s="137" t="s">
        <v>9983</v>
      </c>
      <c r="NKX14" s="137" t="s">
        <v>9984</v>
      </c>
      <c r="NKY14" s="137" t="s">
        <v>9985</v>
      </c>
      <c r="NKZ14" s="137" t="s">
        <v>9986</v>
      </c>
      <c r="NLA14" s="137" t="s">
        <v>9987</v>
      </c>
      <c r="NLB14" s="137" t="s">
        <v>9988</v>
      </c>
      <c r="NLC14" s="137" t="s">
        <v>9989</v>
      </c>
      <c r="NLD14" s="137" t="s">
        <v>9990</v>
      </c>
      <c r="NLE14" s="137" t="s">
        <v>9991</v>
      </c>
      <c r="NLF14" s="137" t="s">
        <v>9992</v>
      </c>
      <c r="NLG14" s="137" t="s">
        <v>9993</v>
      </c>
      <c r="NLH14" s="137" t="s">
        <v>9994</v>
      </c>
      <c r="NLI14" s="137" t="s">
        <v>9995</v>
      </c>
      <c r="NLJ14" s="137" t="s">
        <v>9996</v>
      </c>
      <c r="NLK14" s="137" t="s">
        <v>9997</v>
      </c>
      <c r="NLL14" s="137" t="s">
        <v>9998</v>
      </c>
      <c r="NLM14" s="137" t="s">
        <v>9999</v>
      </c>
      <c r="NLN14" s="137" t="s">
        <v>10000</v>
      </c>
      <c r="NLO14" s="137" t="s">
        <v>10001</v>
      </c>
      <c r="NLP14" s="137" t="s">
        <v>10002</v>
      </c>
      <c r="NLQ14" s="137" t="s">
        <v>10003</v>
      </c>
      <c r="NLR14" s="137" t="s">
        <v>10004</v>
      </c>
      <c r="NLS14" s="137" t="s">
        <v>10005</v>
      </c>
      <c r="NLT14" s="137" t="s">
        <v>10006</v>
      </c>
      <c r="NLU14" s="137" t="s">
        <v>10007</v>
      </c>
      <c r="NLV14" s="137" t="s">
        <v>10008</v>
      </c>
      <c r="NLW14" s="137" t="s">
        <v>10009</v>
      </c>
      <c r="NLX14" s="137" t="s">
        <v>10010</v>
      </c>
      <c r="NLY14" s="137" t="s">
        <v>10011</v>
      </c>
      <c r="NLZ14" s="137" t="s">
        <v>10012</v>
      </c>
      <c r="NMA14" s="137" t="s">
        <v>10013</v>
      </c>
      <c r="NMB14" s="137" t="s">
        <v>10014</v>
      </c>
      <c r="NMC14" s="137" t="s">
        <v>10015</v>
      </c>
      <c r="NMD14" s="137" t="s">
        <v>10016</v>
      </c>
      <c r="NME14" s="137" t="s">
        <v>10017</v>
      </c>
      <c r="NMF14" s="137" t="s">
        <v>10018</v>
      </c>
      <c r="NMG14" s="137" t="s">
        <v>10019</v>
      </c>
      <c r="NMH14" s="137" t="s">
        <v>10020</v>
      </c>
      <c r="NMI14" s="137" t="s">
        <v>10021</v>
      </c>
      <c r="NMJ14" s="137" t="s">
        <v>10022</v>
      </c>
      <c r="NMK14" s="137" t="s">
        <v>10023</v>
      </c>
      <c r="NML14" s="137" t="s">
        <v>10024</v>
      </c>
      <c r="NMM14" s="137" t="s">
        <v>10025</v>
      </c>
      <c r="NMN14" s="137" t="s">
        <v>10026</v>
      </c>
      <c r="NMO14" s="137" t="s">
        <v>10027</v>
      </c>
      <c r="NMP14" s="137" t="s">
        <v>10028</v>
      </c>
      <c r="NMQ14" s="137" t="s">
        <v>10029</v>
      </c>
      <c r="NMR14" s="137" t="s">
        <v>10030</v>
      </c>
      <c r="NMS14" s="137" t="s">
        <v>10031</v>
      </c>
      <c r="NMT14" s="137" t="s">
        <v>10032</v>
      </c>
      <c r="NMU14" s="137" t="s">
        <v>10033</v>
      </c>
      <c r="NMV14" s="137" t="s">
        <v>10034</v>
      </c>
      <c r="NMW14" s="137" t="s">
        <v>10035</v>
      </c>
      <c r="NMX14" s="137" t="s">
        <v>10036</v>
      </c>
      <c r="NMY14" s="137" t="s">
        <v>10037</v>
      </c>
      <c r="NMZ14" s="137" t="s">
        <v>10038</v>
      </c>
      <c r="NNA14" s="137" t="s">
        <v>10039</v>
      </c>
      <c r="NNB14" s="137" t="s">
        <v>10040</v>
      </c>
      <c r="NNC14" s="137" t="s">
        <v>10041</v>
      </c>
      <c r="NND14" s="137" t="s">
        <v>10042</v>
      </c>
      <c r="NNE14" s="137" t="s">
        <v>10043</v>
      </c>
      <c r="NNF14" s="137" t="s">
        <v>10044</v>
      </c>
      <c r="NNG14" s="137" t="s">
        <v>10045</v>
      </c>
      <c r="NNH14" s="137" t="s">
        <v>10046</v>
      </c>
      <c r="NNI14" s="137" t="s">
        <v>10047</v>
      </c>
      <c r="NNJ14" s="137" t="s">
        <v>10048</v>
      </c>
      <c r="NNK14" s="137" t="s">
        <v>10049</v>
      </c>
      <c r="NNL14" s="137" t="s">
        <v>10050</v>
      </c>
      <c r="NNM14" s="137" t="s">
        <v>10051</v>
      </c>
      <c r="NNN14" s="137" t="s">
        <v>10052</v>
      </c>
      <c r="NNO14" s="137" t="s">
        <v>10053</v>
      </c>
      <c r="NNP14" s="137" t="s">
        <v>10054</v>
      </c>
      <c r="NNQ14" s="137" t="s">
        <v>10055</v>
      </c>
      <c r="NNR14" s="137" t="s">
        <v>10056</v>
      </c>
      <c r="NNS14" s="137" t="s">
        <v>10057</v>
      </c>
      <c r="NNT14" s="137" t="s">
        <v>10058</v>
      </c>
      <c r="NNU14" s="137" t="s">
        <v>10059</v>
      </c>
      <c r="NNV14" s="137" t="s">
        <v>10060</v>
      </c>
      <c r="NNW14" s="137" t="s">
        <v>10061</v>
      </c>
      <c r="NNX14" s="137" t="s">
        <v>10062</v>
      </c>
      <c r="NNY14" s="137" t="s">
        <v>10063</v>
      </c>
      <c r="NNZ14" s="137" t="s">
        <v>10064</v>
      </c>
      <c r="NOA14" s="137" t="s">
        <v>10065</v>
      </c>
      <c r="NOB14" s="137" t="s">
        <v>10066</v>
      </c>
      <c r="NOC14" s="137" t="s">
        <v>10067</v>
      </c>
      <c r="NOD14" s="137" t="s">
        <v>10068</v>
      </c>
      <c r="NOE14" s="137" t="s">
        <v>10069</v>
      </c>
      <c r="NOF14" s="137" t="s">
        <v>10070</v>
      </c>
      <c r="NOG14" s="137" t="s">
        <v>10071</v>
      </c>
      <c r="NOH14" s="137" t="s">
        <v>10072</v>
      </c>
      <c r="NOI14" s="137" t="s">
        <v>10073</v>
      </c>
      <c r="NOJ14" s="137" t="s">
        <v>10074</v>
      </c>
      <c r="NOK14" s="137" t="s">
        <v>10075</v>
      </c>
      <c r="NOL14" s="137" t="s">
        <v>10076</v>
      </c>
      <c r="NOM14" s="137" t="s">
        <v>10077</v>
      </c>
      <c r="NON14" s="137" t="s">
        <v>10078</v>
      </c>
      <c r="NOO14" s="137" t="s">
        <v>10079</v>
      </c>
      <c r="NOP14" s="137" t="s">
        <v>10080</v>
      </c>
      <c r="NOQ14" s="137" t="s">
        <v>10081</v>
      </c>
      <c r="NOR14" s="137" t="s">
        <v>10082</v>
      </c>
      <c r="NOS14" s="137" t="s">
        <v>10083</v>
      </c>
      <c r="NOT14" s="137" t="s">
        <v>10084</v>
      </c>
      <c r="NOU14" s="137" t="s">
        <v>10085</v>
      </c>
      <c r="NOV14" s="137" t="s">
        <v>10086</v>
      </c>
      <c r="NOW14" s="137" t="s">
        <v>10087</v>
      </c>
      <c r="NOX14" s="137" t="s">
        <v>10088</v>
      </c>
      <c r="NOY14" s="137" t="s">
        <v>10089</v>
      </c>
      <c r="NOZ14" s="137" t="s">
        <v>10090</v>
      </c>
      <c r="NPA14" s="137" t="s">
        <v>10091</v>
      </c>
      <c r="NPB14" s="137" t="s">
        <v>10092</v>
      </c>
      <c r="NPC14" s="137" t="s">
        <v>10093</v>
      </c>
      <c r="NPD14" s="137" t="s">
        <v>10094</v>
      </c>
      <c r="NPE14" s="137" t="s">
        <v>10095</v>
      </c>
      <c r="NPF14" s="137" t="s">
        <v>10096</v>
      </c>
      <c r="NPG14" s="137" t="s">
        <v>10097</v>
      </c>
      <c r="NPH14" s="137" t="s">
        <v>10098</v>
      </c>
      <c r="NPI14" s="137" t="s">
        <v>10099</v>
      </c>
      <c r="NPJ14" s="137" t="s">
        <v>10100</v>
      </c>
      <c r="NPK14" s="137" t="s">
        <v>10101</v>
      </c>
      <c r="NPL14" s="137" t="s">
        <v>10102</v>
      </c>
      <c r="NPM14" s="137" t="s">
        <v>10103</v>
      </c>
      <c r="NPN14" s="137" t="s">
        <v>10104</v>
      </c>
      <c r="NPO14" s="137" t="s">
        <v>10105</v>
      </c>
      <c r="NPP14" s="137" t="s">
        <v>10106</v>
      </c>
      <c r="NPQ14" s="137" t="s">
        <v>10107</v>
      </c>
      <c r="NPR14" s="137" t="s">
        <v>10108</v>
      </c>
      <c r="NPS14" s="137" t="s">
        <v>10109</v>
      </c>
      <c r="NPT14" s="137" t="s">
        <v>10110</v>
      </c>
      <c r="NPU14" s="137" t="s">
        <v>10111</v>
      </c>
      <c r="NPV14" s="137" t="s">
        <v>10112</v>
      </c>
      <c r="NPW14" s="137" t="s">
        <v>10113</v>
      </c>
      <c r="NPX14" s="137" t="s">
        <v>10114</v>
      </c>
      <c r="NPY14" s="137" t="s">
        <v>10115</v>
      </c>
      <c r="NPZ14" s="137" t="s">
        <v>10116</v>
      </c>
      <c r="NQA14" s="137" t="s">
        <v>10117</v>
      </c>
      <c r="NQB14" s="137" t="s">
        <v>10118</v>
      </c>
      <c r="NQC14" s="137" t="s">
        <v>10119</v>
      </c>
      <c r="NQD14" s="137" t="s">
        <v>10120</v>
      </c>
      <c r="NQE14" s="137" t="s">
        <v>10121</v>
      </c>
      <c r="NQF14" s="137" t="s">
        <v>10122</v>
      </c>
      <c r="NQG14" s="137" t="s">
        <v>10123</v>
      </c>
      <c r="NQH14" s="137" t="s">
        <v>10124</v>
      </c>
      <c r="NQI14" s="137" t="s">
        <v>10125</v>
      </c>
      <c r="NQJ14" s="137" t="s">
        <v>10126</v>
      </c>
      <c r="NQK14" s="137" t="s">
        <v>10127</v>
      </c>
      <c r="NQL14" s="137" t="s">
        <v>10128</v>
      </c>
      <c r="NQM14" s="137" t="s">
        <v>10129</v>
      </c>
      <c r="NQN14" s="137" t="s">
        <v>10130</v>
      </c>
      <c r="NQO14" s="137" t="s">
        <v>10131</v>
      </c>
      <c r="NQP14" s="137" t="s">
        <v>10132</v>
      </c>
      <c r="NQQ14" s="137" t="s">
        <v>10133</v>
      </c>
      <c r="NQR14" s="137" t="s">
        <v>10134</v>
      </c>
      <c r="NQS14" s="137" t="s">
        <v>10135</v>
      </c>
      <c r="NQT14" s="137" t="s">
        <v>10136</v>
      </c>
      <c r="NQU14" s="137" t="s">
        <v>10137</v>
      </c>
      <c r="NQV14" s="137" t="s">
        <v>10138</v>
      </c>
      <c r="NQW14" s="137" t="s">
        <v>10139</v>
      </c>
      <c r="NQX14" s="137" t="s">
        <v>10140</v>
      </c>
      <c r="NQY14" s="137" t="s">
        <v>10141</v>
      </c>
      <c r="NQZ14" s="137" t="s">
        <v>10142</v>
      </c>
      <c r="NRA14" s="137" t="s">
        <v>10143</v>
      </c>
      <c r="NRB14" s="137" t="s">
        <v>10144</v>
      </c>
      <c r="NRC14" s="137" t="s">
        <v>10145</v>
      </c>
      <c r="NRD14" s="137" t="s">
        <v>10146</v>
      </c>
      <c r="NRE14" s="137" t="s">
        <v>10147</v>
      </c>
      <c r="NRF14" s="137" t="s">
        <v>10148</v>
      </c>
      <c r="NRG14" s="137" t="s">
        <v>10149</v>
      </c>
      <c r="NRH14" s="137" t="s">
        <v>10150</v>
      </c>
      <c r="NRI14" s="137" t="s">
        <v>10151</v>
      </c>
      <c r="NRJ14" s="137" t="s">
        <v>10152</v>
      </c>
      <c r="NRK14" s="137" t="s">
        <v>10153</v>
      </c>
      <c r="NRL14" s="137" t="s">
        <v>10154</v>
      </c>
      <c r="NRM14" s="137" t="s">
        <v>10155</v>
      </c>
      <c r="NRN14" s="137" t="s">
        <v>10156</v>
      </c>
      <c r="NRO14" s="137" t="s">
        <v>10157</v>
      </c>
      <c r="NRP14" s="137" t="s">
        <v>10158</v>
      </c>
      <c r="NRQ14" s="137" t="s">
        <v>10159</v>
      </c>
      <c r="NRR14" s="137" t="s">
        <v>10160</v>
      </c>
      <c r="NRS14" s="137" t="s">
        <v>10161</v>
      </c>
      <c r="NRT14" s="137" t="s">
        <v>10162</v>
      </c>
      <c r="NRU14" s="137" t="s">
        <v>10163</v>
      </c>
      <c r="NRV14" s="137" t="s">
        <v>10164</v>
      </c>
      <c r="NRW14" s="137" t="s">
        <v>10165</v>
      </c>
      <c r="NRX14" s="137" t="s">
        <v>10166</v>
      </c>
      <c r="NRY14" s="137" t="s">
        <v>10167</v>
      </c>
      <c r="NRZ14" s="137" t="s">
        <v>10168</v>
      </c>
      <c r="NSA14" s="137" t="s">
        <v>10169</v>
      </c>
      <c r="NSB14" s="137" t="s">
        <v>10170</v>
      </c>
      <c r="NSC14" s="137" t="s">
        <v>10171</v>
      </c>
      <c r="NSD14" s="137" t="s">
        <v>10172</v>
      </c>
      <c r="NSE14" s="137" t="s">
        <v>10173</v>
      </c>
      <c r="NSF14" s="137" t="s">
        <v>10174</v>
      </c>
      <c r="NSG14" s="137" t="s">
        <v>10175</v>
      </c>
      <c r="NSH14" s="137" t="s">
        <v>10176</v>
      </c>
      <c r="NSI14" s="137" t="s">
        <v>10177</v>
      </c>
      <c r="NSJ14" s="137" t="s">
        <v>10178</v>
      </c>
      <c r="NSK14" s="137" t="s">
        <v>10179</v>
      </c>
      <c r="NSL14" s="137" t="s">
        <v>10180</v>
      </c>
      <c r="NSM14" s="137" t="s">
        <v>10181</v>
      </c>
      <c r="NSN14" s="137" t="s">
        <v>10182</v>
      </c>
      <c r="NSO14" s="137" t="s">
        <v>10183</v>
      </c>
      <c r="NSP14" s="137" t="s">
        <v>10184</v>
      </c>
      <c r="NSQ14" s="137" t="s">
        <v>10185</v>
      </c>
      <c r="NSR14" s="137" t="s">
        <v>10186</v>
      </c>
      <c r="NSS14" s="137" t="s">
        <v>10187</v>
      </c>
      <c r="NST14" s="137" t="s">
        <v>10188</v>
      </c>
      <c r="NSU14" s="137" t="s">
        <v>10189</v>
      </c>
      <c r="NSV14" s="137" t="s">
        <v>10190</v>
      </c>
      <c r="NSW14" s="137" t="s">
        <v>10191</v>
      </c>
      <c r="NSX14" s="137" t="s">
        <v>10192</v>
      </c>
      <c r="NSY14" s="137" t="s">
        <v>10193</v>
      </c>
      <c r="NSZ14" s="137" t="s">
        <v>10194</v>
      </c>
      <c r="NTA14" s="137" t="s">
        <v>10195</v>
      </c>
      <c r="NTB14" s="137" t="s">
        <v>10196</v>
      </c>
      <c r="NTC14" s="137" t="s">
        <v>10197</v>
      </c>
      <c r="NTD14" s="137" t="s">
        <v>10198</v>
      </c>
      <c r="NTE14" s="137" t="s">
        <v>10199</v>
      </c>
      <c r="NTF14" s="137" t="s">
        <v>10200</v>
      </c>
      <c r="NTG14" s="137" t="s">
        <v>10201</v>
      </c>
      <c r="NTH14" s="137" t="s">
        <v>10202</v>
      </c>
      <c r="NTI14" s="137" t="s">
        <v>10203</v>
      </c>
      <c r="NTJ14" s="137" t="s">
        <v>10204</v>
      </c>
      <c r="NTK14" s="137" t="s">
        <v>10205</v>
      </c>
      <c r="NTL14" s="137" t="s">
        <v>10206</v>
      </c>
      <c r="NTM14" s="137" t="s">
        <v>10207</v>
      </c>
      <c r="NTN14" s="137" t="s">
        <v>10208</v>
      </c>
      <c r="NTO14" s="137" t="s">
        <v>10209</v>
      </c>
      <c r="NTP14" s="137" t="s">
        <v>10210</v>
      </c>
      <c r="NTQ14" s="137" t="s">
        <v>10211</v>
      </c>
      <c r="NTR14" s="137" t="s">
        <v>10212</v>
      </c>
      <c r="NTS14" s="137" t="s">
        <v>10213</v>
      </c>
      <c r="NTT14" s="137" t="s">
        <v>10214</v>
      </c>
      <c r="NTU14" s="137" t="s">
        <v>10215</v>
      </c>
      <c r="NTV14" s="137" t="s">
        <v>10216</v>
      </c>
      <c r="NTW14" s="137" t="s">
        <v>10217</v>
      </c>
      <c r="NTX14" s="137" t="s">
        <v>10218</v>
      </c>
      <c r="NTY14" s="137" t="s">
        <v>10219</v>
      </c>
      <c r="NTZ14" s="137" t="s">
        <v>10220</v>
      </c>
      <c r="NUA14" s="137" t="s">
        <v>10221</v>
      </c>
      <c r="NUB14" s="137" t="s">
        <v>10222</v>
      </c>
      <c r="NUC14" s="137" t="s">
        <v>10223</v>
      </c>
      <c r="NUD14" s="137" t="s">
        <v>10224</v>
      </c>
      <c r="NUE14" s="137" t="s">
        <v>10225</v>
      </c>
      <c r="NUF14" s="137" t="s">
        <v>10226</v>
      </c>
      <c r="NUG14" s="137" t="s">
        <v>10227</v>
      </c>
      <c r="NUH14" s="137" t="s">
        <v>10228</v>
      </c>
      <c r="NUI14" s="137" t="s">
        <v>10229</v>
      </c>
      <c r="NUJ14" s="137" t="s">
        <v>10230</v>
      </c>
      <c r="NUK14" s="137" t="s">
        <v>10231</v>
      </c>
      <c r="NUL14" s="137" t="s">
        <v>10232</v>
      </c>
      <c r="NUM14" s="137" t="s">
        <v>10233</v>
      </c>
      <c r="NUN14" s="137" t="s">
        <v>10234</v>
      </c>
      <c r="NUO14" s="137" t="s">
        <v>10235</v>
      </c>
      <c r="NUP14" s="137" t="s">
        <v>10236</v>
      </c>
      <c r="NUQ14" s="137" t="s">
        <v>10237</v>
      </c>
      <c r="NUR14" s="137" t="s">
        <v>10238</v>
      </c>
      <c r="NUS14" s="137" t="s">
        <v>10239</v>
      </c>
      <c r="NUT14" s="137" t="s">
        <v>10240</v>
      </c>
      <c r="NUU14" s="137" t="s">
        <v>10241</v>
      </c>
      <c r="NUV14" s="137" t="s">
        <v>10242</v>
      </c>
      <c r="NUW14" s="137" t="s">
        <v>10243</v>
      </c>
      <c r="NUX14" s="137" t="s">
        <v>10244</v>
      </c>
      <c r="NUY14" s="137" t="s">
        <v>10245</v>
      </c>
      <c r="NUZ14" s="137" t="s">
        <v>10246</v>
      </c>
      <c r="NVA14" s="137" t="s">
        <v>10247</v>
      </c>
      <c r="NVB14" s="137" t="s">
        <v>10248</v>
      </c>
      <c r="NVC14" s="137" t="s">
        <v>10249</v>
      </c>
      <c r="NVD14" s="137" t="s">
        <v>10250</v>
      </c>
      <c r="NVE14" s="137" t="s">
        <v>10251</v>
      </c>
      <c r="NVF14" s="137" t="s">
        <v>10252</v>
      </c>
      <c r="NVG14" s="137" t="s">
        <v>10253</v>
      </c>
      <c r="NVH14" s="137" t="s">
        <v>10254</v>
      </c>
      <c r="NVI14" s="137" t="s">
        <v>10255</v>
      </c>
      <c r="NVJ14" s="137" t="s">
        <v>10256</v>
      </c>
      <c r="NVK14" s="137" t="s">
        <v>10257</v>
      </c>
      <c r="NVL14" s="137" t="s">
        <v>10258</v>
      </c>
      <c r="NVM14" s="137" t="s">
        <v>10259</v>
      </c>
      <c r="NVN14" s="137" t="s">
        <v>10260</v>
      </c>
      <c r="NVO14" s="137" t="s">
        <v>10261</v>
      </c>
      <c r="NVP14" s="137" t="s">
        <v>10262</v>
      </c>
      <c r="NVQ14" s="137" t="s">
        <v>10263</v>
      </c>
      <c r="NVR14" s="137" t="s">
        <v>10264</v>
      </c>
      <c r="NVS14" s="137" t="s">
        <v>10265</v>
      </c>
      <c r="NVT14" s="137" t="s">
        <v>10266</v>
      </c>
      <c r="NVU14" s="137" t="s">
        <v>10267</v>
      </c>
      <c r="NVV14" s="137" t="s">
        <v>10268</v>
      </c>
      <c r="NVW14" s="137" t="s">
        <v>10269</v>
      </c>
      <c r="NVX14" s="137" t="s">
        <v>10270</v>
      </c>
      <c r="NVY14" s="137" t="s">
        <v>10271</v>
      </c>
      <c r="NVZ14" s="137" t="s">
        <v>10272</v>
      </c>
      <c r="NWA14" s="137" t="s">
        <v>10273</v>
      </c>
      <c r="NWB14" s="137" t="s">
        <v>10274</v>
      </c>
      <c r="NWC14" s="137" t="s">
        <v>10275</v>
      </c>
      <c r="NWD14" s="137" t="s">
        <v>10276</v>
      </c>
      <c r="NWE14" s="137" t="s">
        <v>10277</v>
      </c>
      <c r="NWF14" s="137" t="s">
        <v>10278</v>
      </c>
      <c r="NWG14" s="137" t="s">
        <v>10279</v>
      </c>
      <c r="NWH14" s="137" t="s">
        <v>10280</v>
      </c>
      <c r="NWI14" s="137" t="s">
        <v>10281</v>
      </c>
      <c r="NWJ14" s="137" t="s">
        <v>10282</v>
      </c>
      <c r="NWK14" s="137" t="s">
        <v>10283</v>
      </c>
      <c r="NWL14" s="137" t="s">
        <v>10284</v>
      </c>
      <c r="NWM14" s="137" t="s">
        <v>10285</v>
      </c>
      <c r="NWN14" s="137" t="s">
        <v>10286</v>
      </c>
      <c r="NWO14" s="137" t="s">
        <v>10287</v>
      </c>
      <c r="NWP14" s="137" t="s">
        <v>10288</v>
      </c>
      <c r="NWQ14" s="137" t="s">
        <v>10289</v>
      </c>
      <c r="NWR14" s="137" t="s">
        <v>10290</v>
      </c>
      <c r="NWS14" s="137" t="s">
        <v>10291</v>
      </c>
      <c r="NWT14" s="137" t="s">
        <v>10292</v>
      </c>
      <c r="NWU14" s="137" t="s">
        <v>10293</v>
      </c>
      <c r="NWV14" s="137" t="s">
        <v>10294</v>
      </c>
      <c r="NWW14" s="137" t="s">
        <v>10295</v>
      </c>
      <c r="NWX14" s="137" t="s">
        <v>10296</v>
      </c>
      <c r="NWY14" s="137" t="s">
        <v>10297</v>
      </c>
      <c r="NWZ14" s="137" t="s">
        <v>10298</v>
      </c>
      <c r="NXA14" s="137" t="s">
        <v>10299</v>
      </c>
      <c r="NXB14" s="137" t="s">
        <v>10300</v>
      </c>
      <c r="NXC14" s="137" t="s">
        <v>10301</v>
      </c>
      <c r="NXD14" s="137" t="s">
        <v>10302</v>
      </c>
      <c r="NXE14" s="137" t="s">
        <v>10303</v>
      </c>
      <c r="NXF14" s="137" t="s">
        <v>10304</v>
      </c>
      <c r="NXG14" s="137" t="s">
        <v>10305</v>
      </c>
      <c r="NXH14" s="137" t="s">
        <v>10306</v>
      </c>
      <c r="NXI14" s="137" t="s">
        <v>10307</v>
      </c>
      <c r="NXJ14" s="137" t="s">
        <v>10308</v>
      </c>
      <c r="NXK14" s="137" t="s">
        <v>10309</v>
      </c>
      <c r="NXL14" s="137" t="s">
        <v>10310</v>
      </c>
      <c r="NXM14" s="137" t="s">
        <v>10311</v>
      </c>
      <c r="NXN14" s="137" t="s">
        <v>10312</v>
      </c>
      <c r="NXO14" s="137" t="s">
        <v>10313</v>
      </c>
      <c r="NXP14" s="137" t="s">
        <v>10314</v>
      </c>
      <c r="NXQ14" s="137" t="s">
        <v>10315</v>
      </c>
      <c r="NXR14" s="137" t="s">
        <v>10316</v>
      </c>
      <c r="NXS14" s="137" t="s">
        <v>10317</v>
      </c>
      <c r="NXT14" s="137" t="s">
        <v>10318</v>
      </c>
      <c r="NXU14" s="137" t="s">
        <v>10319</v>
      </c>
      <c r="NXV14" s="137" t="s">
        <v>10320</v>
      </c>
      <c r="NXW14" s="137" t="s">
        <v>10321</v>
      </c>
      <c r="NXX14" s="137" t="s">
        <v>10322</v>
      </c>
      <c r="NXY14" s="137" t="s">
        <v>10323</v>
      </c>
      <c r="NXZ14" s="137" t="s">
        <v>10324</v>
      </c>
      <c r="NYA14" s="137" t="s">
        <v>10325</v>
      </c>
      <c r="NYB14" s="137" t="s">
        <v>10326</v>
      </c>
      <c r="NYC14" s="137" t="s">
        <v>10327</v>
      </c>
      <c r="NYD14" s="137" t="s">
        <v>10328</v>
      </c>
      <c r="NYE14" s="137" t="s">
        <v>10329</v>
      </c>
      <c r="NYF14" s="137" t="s">
        <v>10330</v>
      </c>
      <c r="NYG14" s="137" t="s">
        <v>10331</v>
      </c>
      <c r="NYH14" s="137" t="s">
        <v>10332</v>
      </c>
      <c r="NYI14" s="137" t="s">
        <v>10333</v>
      </c>
      <c r="NYJ14" s="137" t="s">
        <v>10334</v>
      </c>
      <c r="NYK14" s="137" t="s">
        <v>10335</v>
      </c>
      <c r="NYL14" s="137" t="s">
        <v>10336</v>
      </c>
      <c r="NYM14" s="137" t="s">
        <v>10337</v>
      </c>
      <c r="NYN14" s="137" t="s">
        <v>10338</v>
      </c>
      <c r="NYO14" s="137" t="s">
        <v>10339</v>
      </c>
      <c r="NYP14" s="137" t="s">
        <v>10340</v>
      </c>
      <c r="NYQ14" s="137" t="s">
        <v>10341</v>
      </c>
      <c r="NYR14" s="137" t="s">
        <v>10342</v>
      </c>
      <c r="NYS14" s="137" t="s">
        <v>10343</v>
      </c>
      <c r="NYT14" s="137" t="s">
        <v>10344</v>
      </c>
      <c r="NYU14" s="137" t="s">
        <v>10345</v>
      </c>
      <c r="NYV14" s="137" t="s">
        <v>10346</v>
      </c>
      <c r="NYW14" s="137" t="s">
        <v>10347</v>
      </c>
      <c r="NYX14" s="137" t="s">
        <v>10348</v>
      </c>
      <c r="NYY14" s="137" t="s">
        <v>10349</v>
      </c>
      <c r="NYZ14" s="137" t="s">
        <v>10350</v>
      </c>
      <c r="NZA14" s="137" t="s">
        <v>10351</v>
      </c>
      <c r="NZB14" s="137" t="s">
        <v>10352</v>
      </c>
      <c r="NZC14" s="137" t="s">
        <v>10353</v>
      </c>
      <c r="NZD14" s="137" t="s">
        <v>10354</v>
      </c>
      <c r="NZE14" s="137" t="s">
        <v>10355</v>
      </c>
      <c r="NZF14" s="137" t="s">
        <v>10356</v>
      </c>
      <c r="NZG14" s="137" t="s">
        <v>10357</v>
      </c>
      <c r="NZH14" s="137" t="s">
        <v>10358</v>
      </c>
      <c r="NZI14" s="137" t="s">
        <v>10359</v>
      </c>
      <c r="NZJ14" s="137" t="s">
        <v>10360</v>
      </c>
      <c r="NZK14" s="137" t="s">
        <v>10361</v>
      </c>
      <c r="NZL14" s="137" t="s">
        <v>10362</v>
      </c>
      <c r="NZM14" s="137" t="s">
        <v>10363</v>
      </c>
      <c r="NZN14" s="137" t="s">
        <v>10364</v>
      </c>
      <c r="NZO14" s="137" t="s">
        <v>10365</v>
      </c>
      <c r="NZP14" s="137" t="s">
        <v>10366</v>
      </c>
      <c r="NZQ14" s="137" t="s">
        <v>10367</v>
      </c>
      <c r="NZR14" s="137" t="s">
        <v>10368</v>
      </c>
      <c r="NZS14" s="137" t="s">
        <v>10369</v>
      </c>
      <c r="NZT14" s="137" t="s">
        <v>10370</v>
      </c>
      <c r="NZU14" s="137" t="s">
        <v>10371</v>
      </c>
      <c r="NZV14" s="137" t="s">
        <v>10372</v>
      </c>
      <c r="NZW14" s="137" t="s">
        <v>10373</v>
      </c>
      <c r="NZX14" s="137" t="s">
        <v>10374</v>
      </c>
      <c r="NZY14" s="137" t="s">
        <v>10375</v>
      </c>
      <c r="NZZ14" s="137" t="s">
        <v>10376</v>
      </c>
      <c r="OAA14" s="137" t="s">
        <v>10377</v>
      </c>
      <c r="OAB14" s="137" t="s">
        <v>10378</v>
      </c>
      <c r="OAC14" s="137" t="s">
        <v>10379</v>
      </c>
      <c r="OAD14" s="137" t="s">
        <v>10380</v>
      </c>
      <c r="OAE14" s="137" t="s">
        <v>10381</v>
      </c>
      <c r="OAF14" s="137" t="s">
        <v>10382</v>
      </c>
      <c r="OAG14" s="137" t="s">
        <v>10383</v>
      </c>
      <c r="OAH14" s="137" t="s">
        <v>10384</v>
      </c>
      <c r="OAI14" s="137" t="s">
        <v>10385</v>
      </c>
      <c r="OAJ14" s="137" t="s">
        <v>10386</v>
      </c>
      <c r="OAK14" s="137" t="s">
        <v>10387</v>
      </c>
      <c r="OAL14" s="137" t="s">
        <v>10388</v>
      </c>
      <c r="OAM14" s="137" t="s">
        <v>10389</v>
      </c>
      <c r="OAN14" s="137" t="s">
        <v>10390</v>
      </c>
      <c r="OAO14" s="137" t="s">
        <v>10391</v>
      </c>
      <c r="OAP14" s="137" t="s">
        <v>10392</v>
      </c>
      <c r="OAQ14" s="137" t="s">
        <v>10393</v>
      </c>
      <c r="OAR14" s="137" t="s">
        <v>10394</v>
      </c>
      <c r="OAS14" s="137" t="s">
        <v>10395</v>
      </c>
      <c r="OAT14" s="137" t="s">
        <v>10396</v>
      </c>
      <c r="OAU14" s="137" t="s">
        <v>10397</v>
      </c>
      <c r="OAV14" s="137" t="s">
        <v>10398</v>
      </c>
      <c r="OAW14" s="137" t="s">
        <v>10399</v>
      </c>
      <c r="OAX14" s="137" t="s">
        <v>10400</v>
      </c>
      <c r="OAY14" s="137" t="s">
        <v>10401</v>
      </c>
      <c r="OAZ14" s="137" t="s">
        <v>10402</v>
      </c>
      <c r="OBA14" s="137" t="s">
        <v>10403</v>
      </c>
      <c r="OBB14" s="137" t="s">
        <v>10404</v>
      </c>
      <c r="OBC14" s="137" t="s">
        <v>10405</v>
      </c>
      <c r="OBD14" s="137" t="s">
        <v>10406</v>
      </c>
      <c r="OBE14" s="137" t="s">
        <v>10407</v>
      </c>
      <c r="OBF14" s="137" t="s">
        <v>10408</v>
      </c>
      <c r="OBG14" s="137" t="s">
        <v>10409</v>
      </c>
      <c r="OBH14" s="137" t="s">
        <v>10410</v>
      </c>
      <c r="OBI14" s="137" t="s">
        <v>10411</v>
      </c>
      <c r="OBJ14" s="137" t="s">
        <v>10412</v>
      </c>
      <c r="OBK14" s="137" t="s">
        <v>10413</v>
      </c>
      <c r="OBL14" s="137" t="s">
        <v>10414</v>
      </c>
      <c r="OBM14" s="137" t="s">
        <v>10415</v>
      </c>
      <c r="OBN14" s="137" t="s">
        <v>10416</v>
      </c>
      <c r="OBO14" s="137" t="s">
        <v>10417</v>
      </c>
      <c r="OBP14" s="137" t="s">
        <v>10418</v>
      </c>
      <c r="OBQ14" s="137" t="s">
        <v>10419</v>
      </c>
      <c r="OBR14" s="137" t="s">
        <v>10420</v>
      </c>
      <c r="OBS14" s="137" t="s">
        <v>10421</v>
      </c>
      <c r="OBT14" s="137" t="s">
        <v>10422</v>
      </c>
      <c r="OBU14" s="137" t="s">
        <v>10423</v>
      </c>
      <c r="OBV14" s="137" t="s">
        <v>10424</v>
      </c>
      <c r="OBW14" s="137" t="s">
        <v>10425</v>
      </c>
      <c r="OBX14" s="137" t="s">
        <v>10426</v>
      </c>
      <c r="OBY14" s="137" t="s">
        <v>10427</v>
      </c>
      <c r="OBZ14" s="137" t="s">
        <v>10428</v>
      </c>
      <c r="OCA14" s="137" t="s">
        <v>10429</v>
      </c>
      <c r="OCB14" s="137" t="s">
        <v>10430</v>
      </c>
      <c r="OCC14" s="137" t="s">
        <v>10431</v>
      </c>
      <c r="OCD14" s="137" t="s">
        <v>10432</v>
      </c>
      <c r="OCE14" s="137" t="s">
        <v>10433</v>
      </c>
      <c r="OCF14" s="137" t="s">
        <v>10434</v>
      </c>
      <c r="OCG14" s="137" t="s">
        <v>10435</v>
      </c>
      <c r="OCH14" s="137" t="s">
        <v>10436</v>
      </c>
      <c r="OCI14" s="137" t="s">
        <v>10437</v>
      </c>
      <c r="OCJ14" s="137" t="s">
        <v>10438</v>
      </c>
      <c r="OCK14" s="137" t="s">
        <v>10439</v>
      </c>
      <c r="OCL14" s="137" t="s">
        <v>10440</v>
      </c>
      <c r="OCM14" s="137" t="s">
        <v>10441</v>
      </c>
      <c r="OCN14" s="137" t="s">
        <v>10442</v>
      </c>
      <c r="OCO14" s="137" t="s">
        <v>10443</v>
      </c>
      <c r="OCP14" s="137" t="s">
        <v>10444</v>
      </c>
      <c r="OCQ14" s="137" t="s">
        <v>10445</v>
      </c>
      <c r="OCR14" s="137" t="s">
        <v>10446</v>
      </c>
      <c r="OCS14" s="137" t="s">
        <v>10447</v>
      </c>
      <c r="OCT14" s="137" t="s">
        <v>10448</v>
      </c>
      <c r="OCU14" s="137" t="s">
        <v>10449</v>
      </c>
      <c r="OCV14" s="137" t="s">
        <v>10450</v>
      </c>
      <c r="OCW14" s="137" t="s">
        <v>10451</v>
      </c>
      <c r="OCX14" s="137" t="s">
        <v>10452</v>
      </c>
      <c r="OCY14" s="137" t="s">
        <v>10453</v>
      </c>
      <c r="OCZ14" s="137" t="s">
        <v>10454</v>
      </c>
      <c r="ODA14" s="137" t="s">
        <v>10455</v>
      </c>
      <c r="ODB14" s="137" t="s">
        <v>10456</v>
      </c>
      <c r="ODC14" s="137" t="s">
        <v>10457</v>
      </c>
      <c r="ODD14" s="137" t="s">
        <v>10458</v>
      </c>
      <c r="ODE14" s="137" t="s">
        <v>10459</v>
      </c>
      <c r="ODF14" s="137" t="s">
        <v>10460</v>
      </c>
      <c r="ODG14" s="137" t="s">
        <v>10461</v>
      </c>
      <c r="ODH14" s="137" t="s">
        <v>10462</v>
      </c>
      <c r="ODI14" s="137" t="s">
        <v>10463</v>
      </c>
      <c r="ODJ14" s="137" t="s">
        <v>10464</v>
      </c>
      <c r="ODK14" s="137" t="s">
        <v>10465</v>
      </c>
      <c r="ODL14" s="137" t="s">
        <v>10466</v>
      </c>
      <c r="ODM14" s="137" t="s">
        <v>10467</v>
      </c>
      <c r="ODN14" s="137" t="s">
        <v>10468</v>
      </c>
      <c r="ODO14" s="137" t="s">
        <v>10469</v>
      </c>
      <c r="ODP14" s="137" t="s">
        <v>10470</v>
      </c>
      <c r="ODQ14" s="137" t="s">
        <v>10471</v>
      </c>
      <c r="ODR14" s="137" t="s">
        <v>10472</v>
      </c>
      <c r="ODS14" s="137" t="s">
        <v>10473</v>
      </c>
      <c r="ODT14" s="137" t="s">
        <v>10474</v>
      </c>
      <c r="ODU14" s="137" t="s">
        <v>10475</v>
      </c>
      <c r="ODV14" s="137" t="s">
        <v>10476</v>
      </c>
      <c r="ODW14" s="137" t="s">
        <v>10477</v>
      </c>
      <c r="ODX14" s="137" t="s">
        <v>10478</v>
      </c>
      <c r="ODY14" s="137" t="s">
        <v>10479</v>
      </c>
      <c r="ODZ14" s="137" t="s">
        <v>10480</v>
      </c>
      <c r="OEA14" s="137" t="s">
        <v>10481</v>
      </c>
      <c r="OEB14" s="137" t="s">
        <v>10482</v>
      </c>
      <c r="OEC14" s="137" t="s">
        <v>10483</v>
      </c>
      <c r="OED14" s="137" t="s">
        <v>10484</v>
      </c>
      <c r="OEE14" s="137" t="s">
        <v>10485</v>
      </c>
      <c r="OEF14" s="137" t="s">
        <v>10486</v>
      </c>
      <c r="OEG14" s="137" t="s">
        <v>10487</v>
      </c>
      <c r="OEH14" s="137" t="s">
        <v>10488</v>
      </c>
      <c r="OEI14" s="137" t="s">
        <v>10489</v>
      </c>
      <c r="OEJ14" s="137" t="s">
        <v>10490</v>
      </c>
      <c r="OEK14" s="137" t="s">
        <v>10491</v>
      </c>
      <c r="OEL14" s="137" t="s">
        <v>10492</v>
      </c>
      <c r="OEM14" s="137" t="s">
        <v>10493</v>
      </c>
      <c r="OEN14" s="137" t="s">
        <v>10494</v>
      </c>
      <c r="OEO14" s="137" t="s">
        <v>10495</v>
      </c>
      <c r="OEP14" s="137" t="s">
        <v>10496</v>
      </c>
      <c r="OEQ14" s="137" t="s">
        <v>10497</v>
      </c>
      <c r="OER14" s="137" t="s">
        <v>10498</v>
      </c>
      <c r="OES14" s="137" t="s">
        <v>10499</v>
      </c>
      <c r="OET14" s="137" t="s">
        <v>10500</v>
      </c>
      <c r="OEU14" s="137" t="s">
        <v>10501</v>
      </c>
      <c r="OEV14" s="137" t="s">
        <v>10502</v>
      </c>
      <c r="OEW14" s="137" t="s">
        <v>10503</v>
      </c>
      <c r="OEX14" s="137" t="s">
        <v>10504</v>
      </c>
      <c r="OEY14" s="137" t="s">
        <v>10505</v>
      </c>
      <c r="OEZ14" s="137" t="s">
        <v>10506</v>
      </c>
      <c r="OFA14" s="137" t="s">
        <v>10507</v>
      </c>
      <c r="OFB14" s="137" t="s">
        <v>10508</v>
      </c>
      <c r="OFC14" s="137" t="s">
        <v>10509</v>
      </c>
      <c r="OFD14" s="137" t="s">
        <v>10510</v>
      </c>
      <c r="OFE14" s="137" t="s">
        <v>10511</v>
      </c>
      <c r="OFF14" s="137" t="s">
        <v>10512</v>
      </c>
      <c r="OFG14" s="137" t="s">
        <v>10513</v>
      </c>
      <c r="OFH14" s="137" t="s">
        <v>10514</v>
      </c>
      <c r="OFI14" s="137" t="s">
        <v>10515</v>
      </c>
      <c r="OFJ14" s="137" t="s">
        <v>10516</v>
      </c>
      <c r="OFK14" s="137" t="s">
        <v>10517</v>
      </c>
      <c r="OFL14" s="137" t="s">
        <v>10518</v>
      </c>
      <c r="OFM14" s="137" t="s">
        <v>10519</v>
      </c>
      <c r="OFN14" s="137" t="s">
        <v>10520</v>
      </c>
      <c r="OFO14" s="137" t="s">
        <v>10521</v>
      </c>
      <c r="OFP14" s="137" t="s">
        <v>10522</v>
      </c>
      <c r="OFQ14" s="137" t="s">
        <v>10523</v>
      </c>
      <c r="OFR14" s="137" t="s">
        <v>10524</v>
      </c>
      <c r="OFS14" s="137" t="s">
        <v>10525</v>
      </c>
      <c r="OFT14" s="137" t="s">
        <v>10526</v>
      </c>
      <c r="OFU14" s="137" t="s">
        <v>10527</v>
      </c>
      <c r="OFV14" s="137" t="s">
        <v>10528</v>
      </c>
      <c r="OFW14" s="137" t="s">
        <v>10529</v>
      </c>
      <c r="OFX14" s="137" t="s">
        <v>10530</v>
      </c>
      <c r="OFY14" s="137" t="s">
        <v>10531</v>
      </c>
      <c r="OFZ14" s="137" t="s">
        <v>10532</v>
      </c>
      <c r="OGA14" s="137" t="s">
        <v>10533</v>
      </c>
      <c r="OGB14" s="137" t="s">
        <v>10534</v>
      </c>
      <c r="OGC14" s="137" t="s">
        <v>10535</v>
      </c>
      <c r="OGD14" s="137" t="s">
        <v>10536</v>
      </c>
      <c r="OGE14" s="137" t="s">
        <v>10537</v>
      </c>
      <c r="OGF14" s="137" t="s">
        <v>10538</v>
      </c>
      <c r="OGG14" s="137" t="s">
        <v>10539</v>
      </c>
      <c r="OGH14" s="137" t="s">
        <v>10540</v>
      </c>
      <c r="OGI14" s="137" t="s">
        <v>10541</v>
      </c>
      <c r="OGJ14" s="137" t="s">
        <v>10542</v>
      </c>
      <c r="OGK14" s="137" t="s">
        <v>10543</v>
      </c>
      <c r="OGL14" s="137" t="s">
        <v>10544</v>
      </c>
      <c r="OGM14" s="137" t="s">
        <v>10545</v>
      </c>
      <c r="OGN14" s="137" t="s">
        <v>10546</v>
      </c>
      <c r="OGO14" s="137" t="s">
        <v>10547</v>
      </c>
      <c r="OGP14" s="137" t="s">
        <v>10548</v>
      </c>
      <c r="OGQ14" s="137" t="s">
        <v>10549</v>
      </c>
      <c r="OGR14" s="137" t="s">
        <v>10550</v>
      </c>
      <c r="OGS14" s="137" t="s">
        <v>10551</v>
      </c>
      <c r="OGT14" s="137" t="s">
        <v>10552</v>
      </c>
      <c r="OGU14" s="137" t="s">
        <v>10553</v>
      </c>
      <c r="OGV14" s="137" t="s">
        <v>10554</v>
      </c>
      <c r="OGW14" s="137" t="s">
        <v>10555</v>
      </c>
      <c r="OGX14" s="137" t="s">
        <v>10556</v>
      </c>
      <c r="OGY14" s="137" t="s">
        <v>10557</v>
      </c>
      <c r="OGZ14" s="137" t="s">
        <v>10558</v>
      </c>
      <c r="OHA14" s="137" t="s">
        <v>10559</v>
      </c>
      <c r="OHB14" s="137" t="s">
        <v>10560</v>
      </c>
      <c r="OHC14" s="137" t="s">
        <v>10561</v>
      </c>
      <c r="OHD14" s="137" t="s">
        <v>10562</v>
      </c>
      <c r="OHE14" s="137" t="s">
        <v>10563</v>
      </c>
      <c r="OHF14" s="137" t="s">
        <v>10564</v>
      </c>
      <c r="OHG14" s="137" t="s">
        <v>10565</v>
      </c>
      <c r="OHH14" s="137" t="s">
        <v>10566</v>
      </c>
      <c r="OHI14" s="137" t="s">
        <v>10567</v>
      </c>
      <c r="OHJ14" s="137" t="s">
        <v>10568</v>
      </c>
      <c r="OHK14" s="137" t="s">
        <v>10569</v>
      </c>
      <c r="OHL14" s="137" t="s">
        <v>10570</v>
      </c>
      <c r="OHM14" s="137" t="s">
        <v>10571</v>
      </c>
      <c r="OHN14" s="137" t="s">
        <v>10572</v>
      </c>
      <c r="OHO14" s="137" t="s">
        <v>10573</v>
      </c>
      <c r="OHP14" s="137" t="s">
        <v>10574</v>
      </c>
      <c r="OHQ14" s="137" t="s">
        <v>10575</v>
      </c>
      <c r="OHR14" s="137" t="s">
        <v>10576</v>
      </c>
      <c r="OHS14" s="137" t="s">
        <v>10577</v>
      </c>
      <c r="OHT14" s="137" t="s">
        <v>10578</v>
      </c>
      <c r="OHU14" s="137" t="s">
        <v>10579</v>
      </c>
      <c r="OHV14" s="137" t="s">
        <v>10580</v>
      </c>
      <c r="OHW14" s="137" t="s">
        <v>10581</v>
      </c>
      <c r="OHX14" s="137" t="s">
        <v>10582</v>
      </c>
      <c r="OHY14" s="137" t="s">
        <v>10583</v>
      </c>
      <c r="OHZ14" s="137" t="s">
        <v>10584</v>
      </c>
      <c r="OIA14" s="137" t="s">
        <v>10585</v>
      </c>
      <c r="OIB14" s="137" t="s">
        <v>10586</v>
      </c>
      <c r="OIC14" s="137" t="s">
        <v>10587</v>
      </c>
      <c r="OID14" s="137" t="s">
        <v>10588</v>
      </c>
      <c r="OIE14" s="137" t="s">
        <v>10589</v>
      </c>
      <c r="OIF14" s="137" t="s">
        <v>10590</v>
      </c>
      <c r="OIG14" s="137" t="s">
        <v>10591</v>
      </c>
      <c r="OIH14" s="137" t="s">
        <v>10592</v>
      </c>
      <c r="OII14" s="137" t="s">
        <v>10593</v>
      </c>
      <c r="OIJ14" s="137" t="s">
        <v>10594</v>
      </c>
      <c r="OIK14" s="137" t="s">
        <v>10595</v>
      </c>
      <c r="OIL14" s="137" t="s">
        <v>10596</v>
      </c>
      <c r="OIM14" s="137" t="s">
        <v>10597</v>
      </c>
      <c r="OIN14" s="137" t="s">
        <v>10598</v>
      </c>
      <c r="OIO14" s="137" t="s">
        <v>10599</v>
      </c>
      <c r="OIP14" s="137" t="s">
        <v>10600</v>
      </c>
      <c r="OIQ14" s="137" t="s">
        <v>10601</v>
      </c>
      <c r="OIR14" s="137" t="s">
        <v>10602</v>
      </c>
      <c r="OIS14" s="137" t="s">
        <v>10603</v>
      </c>
      <c r="OIT14" s="137" t="s">
        <v>10604</v>
      </c>
      <c r="OIU14" s="137" t="s">
        <v>10605</v>
      </c>
      <c r="OIV14" s="137" t="s">
        <v>10606</v>
      </c>
      <c r="OIW14" s="137" t="s">
        <v>10607</v>
      </c>
      <c r="OIX14" s="137" t="s">
        <v>10608</v>
      </c>
      <c r="OIY14" s="137" t="s">
        <v>10609</v>
      </c>
      <c r="OIZ14" s="137" t="s">
        <v>10610</v>
      </c>
      <c r="OJA14" s="137" t="s">
        <v>10611</v>
      </c>
      <c r="OJB14" s="137" t="s">
        <v>10612</v>
      </c>
      <c r="OJC14" s="137" t="s">
        <v>10613</v>
      </c>
      <c r="OJD14" s="137" t="s">
        <v>10614</v>
      </c>
      <c r="OJE14" s="137" t="s">
        <v>10615</v>
      </c>
      <c r="OJF14" s="137" t="s">
        <v>10616</v>
      </c>
      <c r="OJG14" s="137" t="s">
        <v>10617</v>
      </c>
      <c r="OJH14" s="137" t="s">
        <v>10618</v>
      </c>
      <c r="OJI14" s="137" t="s">
        <v>10619</v>
      </c>
      <c r="OJJ14" s="137" t="s">
        <v>10620</v>
      </c>
      <c r="OJK14" s="137" t="s">
        <v>10621</v>
      </c>
      <c r="OJL14" s="137" t="s">
        <v>10622</v>
      </c>
      <c r="OJM14" s="137" t="s">
        <v>10623</v>
      </c>
      <c r="OJN14" s="137" t="s">
        <v>10624</v>
      </c>
      <c r="OJO14" s="137" t="s">
        <v>10625</v>
      </c>
      <c r="OJP14" s="137" t="s">
        <v>10626</v>
      </c>
      <c r="OJQ14" s="137" t="s">
        <v>10627</v>
      </c>
      <c r="OJR14" s="137" t="s">
        <v>10628</v>
      </c>
      <c r="OJS14" s="137" t="s">
        <v>10629</v>
      </c>
      <c r="OJT14" s="137" t="s">
        <v>10630</v>
      </c>
      <c r="OJU14" s="137" t="s">
        <v>10631</v>
      </c>
      <c r="OJV14" s="137" t="s">
        <v>10632</v>
      </c>
      <c r="OJW14" s="137" t="s">
        <v>10633</v>
      </c>
      <c r="OJX14" s="137" t="s">
        <v>10634</v>
      </c>
      <c r="OJY14" s="137" t="s">
        <v>10635</v>
      </c>
      <c r="OJZ14" s="137" t="s">
        <v>10636</v>
      </c>
      <c r="OKA14" s="137" t="s">
        <v>10637</v>
      </c>
      <c r="OKB14" s="137" t="s">
        <v>10638</v>
      </c>
      <c r="OKC14" s="137" t="s">
        <v>10639</v>
      </c>
      <c r="OKD14" s="137" t="s">
        <v>10640</v>
      </c>
      <c r="OKE14" s="137" t="s">
        <v>10641</v>
      </c>
      <c r="OKF14" s="137" t="s">
        <v>10642</v>
      </c>
      <c r="OKG14" s="137" t="s">
        <v>10643</v>
      </c>
      <c r="OKH14" s="137" t="s">
        <v>10644</v>
      </c>
      <c r="OKI14" s="137" t="s">
        <v>10645</v>
      </c>
      <c r="OKJ14" s="137" t="s">
        <v>10646</v>
      </c>
      <c r="OKK14" s="137" t="s">
        <v>10647</v>
      </c>
      <c r="OKL14" s="137" t="s">
        <v>10648</v>
      </c>
      <c r="OKM14" s="137" t="s">
        <v>10649</v>
      </c>
      <c r="OKN14" s="137" t="s">
        <v>10650</v>
      </c>
      <c r="OKO14" s="137" t="s">
        <v>10651</v>
      </c>
      <c r="OKP14" s="137" t="s">
        <v>10652</v>
      </c>
      <c r="OKQ14" s="137" t="s">
        <v>10653</v>
      </c>
      <c r="OKR14" s="137" t="s">
        <v>10654</v>
      </c>
      <c r="OKS14" s="137" t="s">
        <v>10655</v>
      </c>
      <c r="OKT14" s="137" t="s">
        <v>10656</v>
      </c>
      <c r="OKU14" s="137" t="s">
        <v>10657</v>
      </c>
      <c r="OKV14" s="137" t="s">
        <v>10658</v>
      </c>
      <c r="OKW14" s="137" t="s">
        <v>10659</v>
      </c>
      <c r="OKX14" s="137" t="s">
        <v>10660</v>
      </c>
      <c r="OKY14" s="137" t="s">
        <v>10661</v>
      </c>
      <c r="OKZ14" s="137" t="s">
        <v>10662</v>
      </c>
      <c r="OLA14" s="137" t="s">
        <v>10663</v>
      </c>
      <c r="OLB14" s="137" t="s">
        <v>10664</v>
      </c>
      <c r="OLC14" s="137" t="s">
        <v>10665</v>
      </c>
      <c r="OLD14" s="137" t="s">
        <v>10666</v>
      </c>
      <c r="OLE14" s="137" t="s">
        <v>10667</v>
      </c>
      <c r="OLF14" s="137" t="s">
        <v>10668</v>
      </c>
      <c r="OLG14" s="137" t="s">
        <v>10669</v>
      </c>
      <c r="OLH14" s="137" t="s">
        <v>10670</v>
      </c>
      <c r="OLI14" s="137" t="s">
        <v>10671</v>
      </c>
      <c r="OLJ14" s="137" t="s">
        <v>10672</v>
      </c>
      <c r="OLK14" s="137" t="s">
        <v>10673</v>
      </c>
      <c r="OLL14" s="137" t="s">
        <v>10674</v>
      </c>
      <c r="OLM14" s="137" t="s">
        <v>10675</v>
      </c>
      <c r="OLN14" s="137" t="s">
        <v>10676</v>
      </c>
      <c r="OLO14" s="137" t="s">
        <v>10677</v>
      </c>
      <c r="OLP14" s="137" t="s">
        <v>10678</v>
      </c>
      <c r="OLQ14" s="137" t="s">
        <v>10679</v>
      </c>
      <c r="OLR14" s="137" t="s">
        <v>10680</v>
      </c>
      <c r="OLS14" s="137" t="s">
        <v>10681</v>
      </c>
      <c r="OLT14" s="137" t="s">
        <v>10682</v>
      </c>
      <c r="OLU14" s="137" t="s">
        <v>10683</v>
      </c>
      <c r="OLV14" s="137" t="s">
        <v>10684</v>
      </c>
      <c r="OLW14" s="137" t="s">
        <v>10685</v>
      </c>
      <c r="OLX14" s="137" t="s">
        <v>10686</v>
      </c>
      <c r="OLY14" s="137" t="s">
        <v>10687</v>
      </c>
      <c r="OLZ14" s="137" t="s">
        <v>10688</v>
      </c>
      <c r="OMA14" s="137" t="s">
        <v>10689</v>
      </c>
      <c r="OMB14" s="137" t="s">
        <v>10690</v>
      </c>
      <c r="OMC14" s="137" t="s">
        <v>10691</v>
      </c>
      <c r="OMD14" s="137" t="s">
        <v>10692</v>
      </c>
      <c r="OME14" s="137" t="s">
        <v>10693</v>
      </c>
      <c r="OMF14" s="137" t="s">
        <v>10694</v>
      </c>
      <c r="OMG14" s="137" t="s">
        <v>10695</v>
      </c>
      <c r="OMH14" s="137" t="s">
        <v>10696</v>
      </c>
      <c r="OMI14" s="137" t="s">
        <v>10697</v>
      </c>
      <c r="OMJ14" s="137" t="s">
        <v>10698</v>
      </c>
      <c r="OMK14" s="137" t="s">
        <v>10699</v>
      </c>
      <c r="OML14" s="137" t="s">
        <v>10700</v>
      </c>
      <c r="OMM14" s="137" t="s">
        <v>10701</v>
      </c>
      <c r="OMN14" s="137" t="s">
        <v>10702</v>
      </c>
      <c r="OMO14" s="137" t="s">
        <v>10703</v>
      </c>
      <c r="OMP14" s="137" t="s">
        <v>10704</v>
      </c>
      <c r="OMQ14" s="137" t="s">
        <v>10705</v>
      </c>
      <c r="OMR14" s="137" t="s">
        <v>10706</v>
      </c>
      <c r="OMS14" s="137" t="s">
        <v>10707</v>
      </c>
      <c r="OMT14" s="137" t="s">
        <v>10708</v>
      </c>
      <c r="OMU14" s="137" t="s">
        <v>10709</v>
      </c>
      <c r="OMV14" s="137" t="s">
        <v>10710</v>
      </c>
      <c r="OMW14" s="137" t="s">
        <v>10711</v>
      </c>
      <c r="OMX14" s="137" t="s">
        <v>10712</v>
      </c>
      <c r="OMY14" s="137" t="s">
        <v>10713</v>
      </c>
      <c r="OMZ14" s="137" t="s">
        <v>10714</v>
      </c>
      <c r="ONA14" s="137" t="s">
        <v>10715</v>
      </c>
      <c r="ONB14" s="137" t="s">
        <v>10716</v>
      </c>
      <c r="ONC14" s="137" t="s">
        <v>10717</v>
      </c>
      <c r="OND14" s="137" t="s">
        <v>10718</v>
      </c>
      <c r="ONE14" s="137" t="s">
        <v>10719</v>
      </c>
      <c r="ONF14" s="137" t="s">
        <v>10720</v>
      </c>
      <c r="ONG14" s="137" t="s">
        <v>10721</v>
      </c>
      <c r="ONH14" s="137" t="s">
        <v>10722</v>
      </c>
      <c r="ONI14" s="137" t="s">
        <v>10723</v>
      </c>
      <c r="ONJ14" s="137" t="s">
        <v>10724</v>
      </c>
      <c r="ONK14" s="137" t="s">
        <v>10725</v>
      </c>
      <c r="ONL14" s="137" t="s">
        <v>10726</v>
      </c>
      <c r="ONM14" s="137" t="s">
        <v>10727</v>
      </c>
      <c r="ONN14" s="137" t="s">
        <v>10728</v>
      </c>
      <c r="ONO14" s="137" t="s">
        <v>10729</v>
      </c>
      <c r="ONP14" s="137" t="s">
        <v>10730</v>
      </c>
      <c r="ONQ14" s="137" t="s">
        <v>10731</v>
      </c>
      <c r="ONR14" s="137" t="s">
        <v>10732</v>
      </c>
      <c r="ONS14" s="137" t="s">
        <v>10733</v>
      </c>
      <c r="ONT14" s="137" t="s">
        <v>10734</v>
      </c>
      <c r="ONU14" s="137" t="s">
        <v>10735</v>
      </c>
      <c r="ONV14" s="137" t="s">
        <v>10736</v>
      </c>
      <c r="ONW14" s="137" t="s">
        <v>10737</v>
      </c>
      <c r="ONX14" s="137" t="s">
        <v>10738</v>
      </c>
      <c r="ONY14" s="137" t="s">
        <v>10739</v>
      </c>
      <c r="ONZ14" s="137" t="s">
        <v>10740</v>
      </c>
      <c r="OOA14" s="137" t="s">
        <v>10741</v>
      </c>
      <c r="OOB14" s="137" t="s">
        <v>10742</v>
      </c>
      <c r="OOC14" s="137" t="s">
        <v>10743</v>
      </c>
      <c r="OOD14" s="137" t="s">
        <v>10744</v>
      </c>
      <c r="OOE14" s="137" t="s">
        <v>10745</v>
      </c>
      <c r="OOF14" s="137" t="s">
        <v>10746</v>
      </c>
      <c r="OOG14" s="137" t="s">
        <v>10747</v>
      </c>
      <c r="OOH14" s="137" t="s">
        <v>10748</v>
      </c>
      <c r="OOI14" s="137" t="s">
        <v>10749</v>
      </c>
      <c r="OOJ14" s="137" t="s">
        <v>10750</v>
      </c>
      <c r="OOK14" s="137" t="s">
        <v>10751</v>
      </c>
      <c r="OOL14" s="137" t="s">
        <v>10752</v>
      </c>
      <c r="OOM14" s="137" t="s">
        <v>10753</v>
      </c>
      <c r="OON14" s="137" t="s">
        <v>10754</v>
      </c>
      <c r="OOO14" s="137" t="s">
        <v>10755</v>
      </c>
      <c r="OOP14" s="137" t="s">
        <v>10756</v>
      </c>
      <c r="OOQ14" s="137" t="s">
        <v>10757</v>
      </c>
      <c r="OOR14" s="137" t="s">
        <v>10758</v>
      </c>
      <c r="OOS14" s="137" t="s">
        <v>10759</v>
      </c>
      <c r="OOT14" s="137" t="s">
        <v>10760</v>
      </c>
      <c r="OOU14" s="137" t="s">
        <v>10761</v>
      </c>
      <c r="OOV14" s="137" t="s">
        <v>10762</v>
      </c>
      <c r="OOW14" s="137" t="s">
        <v>10763</v>
      </c>
      <c r="OOX14" s="137" t="s">
        <v>10764</v>
      </c>
      <c r="OOY14" s="137" t="s">
        <v>10765</v>
      </c>
      <c r="OOZ14" s="137" t="s">
        <v>10766</v>
      </c>
      <c r="OPA14" s="137" t="s">
        <v>10767</v>
      </c>
      <c r="OPB14" s="137" t="s">
        <v>10768</v>
      </c>
      <c r="OPC14" s="137" t="s">
        <v>10769</v>
      </c>
      <c r="OPD14" s="137" t="s">
        <v>10770</v>
      </c>
      <c r="OPE14" s="137" t="s">
        <v>10771</v>
      </c>
      <c r="OPF14" s="137" t="s">
        <v>10772</v>
      </c>
      <c r="OPG14" s="137" t="s">
        <v>10773</v>
      </c>
      <c r="OPH14" s="137" t="s">
        <v>10774</v>
      </c>
      <c r="OPI14" s="137" t="s">
        <v>10775</v>
      </c>
      <c r="OPJ14" s="137" t="s">
        <v>10776</v>
      </c>
      <c r="OPK14" s="137" t="s">
        <v>10777</v>
      </c>
      <c r="OPL14" s="137" t="s">
        <v>10778</v>
      </c>
      <c r="OPM14" s="137" t="s">
        <v>10779</v>
      </c>
      <c r="OPN14" s="137" t="s">
        <v>10780</v>
      </c>
      <c r="OPO14" s="137" t="s">
        <v>10781</v>
      </c>
      <c r="OPP14" s="137" t="s">
        <v>10782</v>
      </c>
      <c r="OPQ14" s="137" t="s">
        <v>10783</v>
      </c>
      <c r="OPR14" s="137" t="s">
        <v>10784</v>
      </c>
      <c r="OPS14" s="137" t="s">
        <v>10785</v>
      </c>
      <c r="OPT14" s="137" t="s">
        <v>10786</v>
      </c>
      <c r="OPU14" s="137" t="s">
        <v>10787</v>
      </c>
      <c r="OPV14" s="137" t="s">
        <v>10788</v>
      </c>
      <c r="OPW14" s="137" t="s">
        <v>10789</v>
      </c>
      <c r="OPX14" s="137" t="s">
        <v>10790</v>
      </c>
      <c r="OPY14" s="137" t="s">
        <v>10791</v>
      </c>
      <c r="OPZ14" s="137" t="s">
        <v>10792</v>
      </c>
      <c r="OQA14" s="137" t="s">
        <v>10793</v>
      </c>
      <c r="OQB14" s="137" t="s">
        <v>10794</v>
      </c>
      <c r="OQC14" s="137" t="s">
        <v>10795</v>
      </c>
      <c r="OQD14" s="137" t="s">
        <v>10796</v>
      </c>
      <c r="OQE14" s="137" t="s">
        <v>10797</v>
      </c>
      <c r="OQF14" s="137" t="s">
        <v>10798</v>
      </c>
      <c r="OQG14" s="137" t="s">
        <v>10799</v>
      </c>
      <c r="OQH14" s="137" t="s">
        <v>10800</v>
      </c>
      <c r="OQI14" s="137" t="s">
        <v>10801</v>
      </c>
      <c r="OQJ14" s="137" t="s">
        <v>10802</v>
      </c>
      <c r="OQK14" s="137" t="s">
        <v>10803</v>
      </c>
      <c r="OQL14" s="137" t="s">
        <v>10804</v>
      </c>
      <c r="OQM14" s="137" t="s">
        <v>10805</v>
      </c>
      <c r="OQN14" s="137" t="s">
        <v>10806</v>
      </c>
      <c r="OQO14" s="137" t="s">
        <v>10807</v>
      </c>
      <c r="OQP14" s="137" t="s">
        <v>10808</v>
      </c>
      <c r="OQQ14" s="137" t="s">
        <v>10809</v>
      </c>
      <c r="OQR14" s="137" t="s">
        <v>10810</v>
      </c>
      <c r="OQS14" s="137" t="s">
        <v>10811</v>
      </c>
      <c r="OQT14" s="137" t="s">
        <v>10812</v>
      </c>
      <c r="OQU14" s="137" t="s">
        <v>10813</v>
      </c>
      <c r="OQV14" s="137" t="s">
        <v>10814</v>
      </c>
      <c r="OQW14" s="137" t="s">
        <v>10815</v>
      </c>
      <c r="OQX14" s="137" t="s">
        <v>10816</v>
      </c>
      <c r="OQY14" s="137" t="s">
        <v>10817</v>
      </c>
      <c r="OQZ14" s="137" t="s">
        <v>10818</v>
      </c>
      <c r="ORA14" s="137" t="s">
        <v>10819</v>
      </c>
      <c r="ORB14" s="137" t="s">
        <v>10820</v>
      </c>
      <c r="ORC14" s="137" t="s">
        <v>10821</v>
      </c>
      <c r="ORD14" s="137" t="s">
        <v>10822</v>
      </c>
      <c r="ORE14" s="137" t="s">
        <v>10823</v>
      </c>
      <c r="ORF14" s="137" t="s">
        <v>10824</v>
      </c>
      <c r="ORG14" s="137" t="s">
        <v>10825</v>
      </c>
      <c r="ORH14" s="137" t="s">
        <v>10826</v>
      </c>
      <c r="ORI14" s="137" t="s">
        <v>10827</v>
      </c>
      <c r="ORJ14" s="137" t="s">
        <v>10828</v>
      </c>
      <c r="ORK14" s="137" t="s">
        <v>10829</v>
      </c>
      <c r="ORL14" s="137" t="s">
        <v>10830</v>
      </c>
      <c r="ORM14" s="137" t="s">
        <v>10831</v>
      </c>
      <c r="ORN14" s="137" t="s">
        <v>10832</v>
      </c>
      <c r="ORO14" s="137" t="s">
        <v>10833</v>
      </c>
      <c r="ORP14" s="137" t="s">
        <v>10834</v>
      </c>
      <c r="ORQ14" s="137" t="s">
        <v>10835</v>
      </c>
      <c r="ORR14" s="137" t="s">
        <v>10836</v>
      </c>
      <c r="ORS14" s="137" t="s">
        <v>10837</v>
      </c>
      <c r="ORT14" s="137" t="s">
        <v>10838</v>
      </c>
      <c r="ORU14" s="137" t="s">
        <v>10839</v>
      </c>
      <c r="ORV14" s="137" t="s">
        <v>10840</v>
      </c>
      <c r="ORW14" s="137" t="s">
        <v>10841</v>
      </c>
      <c r="ORX14" s="137" t="s">
        <v>10842</v>
      </c>
      <c r="ORY14" s="137" t="s">
        <v>10843</v>
      </c>
      <c r="ORZ14" s="137" t="s">
        <v>10844</v>
      </c>
      <c r="OSA14" s="137" t="s">
        <v>10845</v>
      </c>
      <c r="OSB14" s="137" t="s">
        <v>10846</v>
      </c>
      <c r="OSC14" s="137" t="s">
        <v>10847</v>
      </c>
      <c r="OSD14" s="137" t="s">
        <v>10848</v>
      </c>
      <c r="OSE14" s="137" t="s">
        <v>10849</v>
      </c>
      <c r="OSF14" s="137" t="s">
        <v>10850</v>
      </c>
      <c r="OSG14" s="137" t="s">
        <v>10851</v>
      </c>
      <c r="OSH14" s="137" t="s">
        <v>10852</v>
      </c>
      <c r="OSI14" s="137" t="s">
        <v>10853</v>
      </c>
      <c r="OSJ14" s="137" t="s">
        <v>10854</v>
      </c>
      <c r="OSK14" s="137" t="s">
        <v>10855</v>
      </c>
      <c r="OSL14" s="137" t="s">
        <v>10856</v>
      </c>
      <c r="OSM14" s="137" t="s">
        <v>10857</v>
      </c>
      <c r="OSN14" s="137" t="s">
        <v>10858</v>
      </c>
      <c r="OSO14" s="137" t="s">
        <v>10859</v>
      </c>
      <c r="OSP14" s="137" t="s">
        <v>10860</v>
      </c>
      <c r="OSQ14" s="137" t="s">
        <v>10861</v>
      </c>
      <c r="OSR14" s="137" t="s">
        <v>10862</v>
      </c>
      <c r="OSS14" s="137" t="s">
        <v>10863</v>
      </c>
      <c r="OST14" s="137" t="s">
        <v>10864</v>
      </c>
      <c r="OSU14" s="137" t="s">
        <v>10865</v>
      </c>
      <c r="OSV14" s="137" t="s">
        <v>10866</v>
      </c>
      <c r="OSW14" s="137" t="s">
        <v>10867</v>
      </c>
      <c r="OSX14" s="137" t="s">
        <v>10868</v>
      </c>
      <c r="OSY14" s="137" t="s">
        <v>10869</v>
      </c>
      <c r="OSZ14" s="137" t="s">
        <v>10870</v>
      </c>
      <c r="OTA14" s="137" t="s">
        <v>10871</v>
      </c>
      <c r="OTB14" s="137" t="s">
        <v>10872</v>
      </c>
      <c r="OTC14" s="137" t="s">
        <v>10873</v>
      </c>
      <c r="OTD14" s="137" t="s">
        <v>10874</v>
      </c>
      <c r="OTE14" s="137" t="s">
        <v>10875</v>
      </c>
      <c r="OTF14" s="137" t="s">
        <v>10876</v>
      </c>
      <c r="OTG14" s="137" t="s">
        <v>10877</v>
      </c>
      <c r="OTH14" s="137" t="s">
        <v>10878</v>
      </c>
      <c r="OTI14" s="137" t="s">
        <v>10879</v>
      </c>
      <c r="OTJ14" s="137" t="s">
        <v>10880</v>
      </c>
      <c r="OTK14" s="137" t="s">
        <v>10881</v>
      </c>
      <c r="OTL14" s="137" t="s">
        <v>10882</v>
      </c>
      <c r="OTM14" s="137" t="s">
        <v>10883</v>
      </c>
      <c r="OTN14" s="137" t="s">
        <v>10884</v>
      </c>
      <c r="OTO14" s="137" t="s">
        <v>10885</v>
      </c>
      <c r="OTP14" s="137" t="s">
        <v>10886</v>
      </c>
      <c r="OTQ14" s="137" t="s">
        <v>10887</v>
      </c>
      <c r="OTR14" s="137" t="s">
        <v>10888</v>
      </c>
      <c r="OTS14" s="137" t="s">
        <v>10889</v>
      </c>
      <c r="OTT14" s="137" t="s">
        <v>10890</v>
      </c>
      <c r="OTU14" s="137" t="s">
        <v>10891</v>
      </c>
      <c r="OTV14" s="137" t="s">
        <v>10892</v>
      </c>
      <c r="OTW14" s="137" t="s">
        <v>10893</v>
      </c>
      <c r="OTX14" s="137" t="s">
        <v>10894</v>
      </c>
      <c r="OTY14" s="137" t="s">
        <v>10895</v>
      </c>
      <c r="OTZ14" s="137" t="s">
        <v>10896</v>
      </c>
      <c r="OUA14" s="137" t="s">
        <v>10897</v>
      </c>
      <c r="OUB14" s="137" t="s">
        <v>10898</v>
      </c>
      <c r="OUC14" s="137" t="s">
        <v>10899</v>
      </c>
      <c r="OUD14" s="137" t="s">
        <v>10900</v>
      </c>
      <c r="OUE14" s="137" t="s">
        <v>10901</v>
      </c>
      <c r="OUF14" s="137" t="s">
        <v>10902</v>
      </c>
      <c r="OUG14" s="137" t="s">
        <v>10903</v>
      </c>
      <c r="OUH14" s="137" t="s">
        <v>10904</v>
      </c>
      <c r="OUI14" s="137" t="s">
        <v>10905</v>
      </c>
      <c r="OUJ14" s="137" t="s">
        <v>10906</v>
      </c>
      <c r="OUK14" s="137" t="s">
        <v>10907</v>
      </c>
      <c r="OUL14" s="137" t="s">
        <v>10908</v>
      </c>
      <c r="OUM14" s="137" t="s">
        <v>10909</v>
      </c>
      <c r="OUN14" s="137" t="s">
        <v>10910</v>
      </c>
      <c r="OUO14" s="137" t="s">
        <v>10911</v>
      </c>
      <c r="OUP14" s="137" t="s">
        <v>10912</v>
      </c>
      <c r="OUQ14" s="137" t="s">
        <v>10913</v>
      </c>
      <c r="OUR14" s="137" t="s">
        <v>10914</v>
      </c>
      <c r="OUS14" s="137" t="s">
        <v>10915</v>
      </c>
      <c r="OUT14" s="137" t="s">
        <v>10916</v>
      </c>
      <c r="OUU14" s="137" t="s">
        <v>10917</v>
      </c>
      <c r="OUV14" s="137" t="s">
        <v>10918</v>
      </c>
      <c r="OUW14" s="137" t="s">
        <v>10919</v>
      </c>
      <c r="OUX14" s="137" t="s">
        <v>10920</v>
      </c>
      <c r="OUY14" s="137" t="s">
        <v>10921</v>
      </c>
      <c r="OUZ14" s="137" t="s">
        <v>10922</v>
      </c>
      <c r="OVA14" s="137" t="s">
        <v>10923</v>
      </c>
      <c r="OVB14" s="137" t="s">
        <v>10924</v>
      </c>
      <c r="OVC14" s="137" t="s">
        <v>10925</v>
      </c>
      <c r="OVD14" s="137" t="s">
        <v>10926</v>
      </c>
      <c r="OVE14" s="137" t="s">
        <v>10927</v>
      </c>
      <c r="OVF14" s="137" t="s">
        <v>10928</v>
      </c>
      <c r="OVG14" s="137" t="s">
        <v>10929</v>
      </c>
      <c r="OVH14" s="137" t="s">
        <v>10930</v>
      </c>
      <c r="OVI14" s="137" t="s">
        <v>10931</v>
      </c>
      <c r="OVJ14" s="137" t="s">
        <v>10932</v>
      </c>
      <c r="OVK14" s="137" t="s">
        <v>10933</v>
      </c>
      <c r="OVL14" s="137" t="s">
        <v>10934</v>
      </c>
      <c r="OVM14" s="137" t="s">
        <v>10935</v>
      </c>
      <c r="OVN14" s="137" t="s">
        <v>10936</v>
      </c>
      <c r="OVO14" s="137" t="s">
        <v>10937</v>
      </c>
      <c r="OVP14" s="137" t="s">
        <v>10938</v>
      </c>
      <c r="OVQ14" s="137" t="s">
        <v>10939</v>
      </c>
      <c r="OVR14" s="137" t="s">
        <v>10940</v>
      </c>
      <c r="OVS14" s="137" t="s">
        <v>10941</v>
      </c>
      <c r="OVT14" s="137" t="s">
        <v>10942</v>
      </c>
      <c r="OVU14" s="137" t="s">
        <v>10943</v>
      </c>
      <c r="OVV14" s="137" t="s">
        <v>10944</v>
      </c>
      <c r="OVW14" s="137" t="s">
        <v>10945</v>
      </c>
      <c r="OVX14" s="137" t="s">
        <v>10946</v>
      </c>
      <c r="OVY14" s="137" t="s">
        <v>10947</v>
      </c>
      <c r="OVZ14" s="137" t="s">
        <v>10948</v>
      </c>
      <c r="OWA14" s="137" t="s">
        <v>10949</v>
      </c>
      <c r="OWB14" s="137" t="s">
        <v>10950</v>
      </c>
      <c r="OWC14" s="137" t="s">
        <v>10951</v>
      </c>
      <c r="OWD14" s="137" t="s">
        <v>10952</v>
      </c>
      <c r="OWE14" s="137" t="s">
        <v>10953</v>
      </c>
      <c r="OWF14" s="137" t="s">
        <v>10954</v>
      </c>
      <c r="OWG14" s="137" t="s">
        <v>10955</v>
      </c>
      <c r="OWH14" s="137" t="s">
        <v>10956</v>
      </c>
      <c r="OWI14" s="137" t="s">
        <v>10957</v>
      </c>
      <c r="OWJ14" s="137" t="s">
        <v>10958</v>
      </c>
      <c r="OWK14" s="137" t="s">
        <v>10959</v>
      </c>
      <c r="OWL14" s="137" t="s">
        <v>10960</v>
      </c>
      <c r="OWM14" s="137" t="s">
        <v>10961</v>
      </c>
      <c r="OWN14" s="137" t="s">
        <v>10962</v>
      </c>
      <c r="OWO14" s="137" t="s">
        <v>10963</v>
      </c>
      <c r="OWP14" s="137" t="s">
        <v>10964</v>
      </c>
      <c r="OWQ14" s="137" t="s">
        <v>10965</v>
      </c>
      <c r="OWR14" s="137" t="s">
        <v>10966</v>
      </c>
      <c r="OWS14" s="137" t="s">
        <v>10967</v>
      </c>
      <c r="OWT14" s="137" t="s">
        <v>10968</v>
      </c>
      <c r="OWU14" s="137" t="s">
        <v>10969</v>
      </c>
      <c r="OWV14" s="137" t="s">
        <v>10970</v>
      </c>
      <c r="OWW14" s="137" t="s">
        <v>10971</v>
      </c>
      <c r="OWX14" s="137" t="s">
        <v>10972</v>
      </c>
      <c r="OWY14" s="137" t="s">
        <v>10973</v>
      </c>
      <c r="OWZ14" s="137" t="s">
        <v>10974</v>
      </c>
      <c r="OXA14" s="137" t="s">
        <v>10975</v>
      </c>
      <c r="OXB14" s="137" t="s">
        <v>10976</v>
      </c>
      <c r="OXC14" s="137" t="s">
        <v>10977</v>
      </c>
      <c r="OXD14" s="137" t="s">
        <v>10978</v>
      </c>
      <c r="OXE14" s="137" t="s">
        <v>10979</v>
      </c>
      <c r="OXF14" s="137" t="s">
        <v>10980</v>
      </c>
      <c r="OXG14" s="137" t="s">
        <v>10981</v>
      </c>
      <c r="OXH14" s="137" t="s">
        <v>10982</v>
      </c>
      <c r="OXI14" s="137" t="s">
        <v>10983</v>
      </c>
      <c r="OXJ14" s="137" t="s">
        <v>10984</v>
      </c>
      <c r="OXK14" s="137" t="s">
        <v>10985</v>
      </c>
      <c r="OXL14" s="137" t="s">
        <v>10986</v>
      </c>
      <c r="OXM14" s="137" t="s">
        <v>10987</v>
      </c>
      <c r="OXN14" s="137" t="s">
        <v>10988</v>
      </c>
      <c r="OXO14" s="137" t="s">
        <v>10989</v>
      </c>
      <c r="OXP14" s="137" t="s">
        <v>10990</v>
      </c>
      <c r="OXQ14" s="137" t="s">
        <v>10991</v>
      </c>
      <c r="OXR14" s="137" t="s">
        <v>10992</v>
      </c>
      <c r="OXS14" s="137" t="s">
        <v>10993</v>
      </c>
      <c r="OXT14" s="137" t="s">
        <v>10994</v>
      </c>
      <c r="OXU14" s="137" t="s">
        <v>10995</v>
      </c>
      <c r="OXV14" s="137" t="s">
        <v>10996</v>
      </c>
      <c r="OXW14" s="137" t="s">
        <v>10997</v>
      </c>
      <c r="OXX14" s="137" t="s">
        <v>10998</v>
      </c>
      <c r="OXY14" s="137" t="s">
        <v>10999</v>
      </c>
      <c r="OXZ14" s="137" t="s">
        <v>11000</v>
      </c>
      <c r="OYA14" s="137" t="s">
        <v>11001</v>
      </c>
      <c r="OYB14" s="137" t="s">
        <v>11002</v>
      </c>
      <c r="OYC14" s="137" t="s">
        <v>11003</v>
      </c>
      <c r="OYD14" s="137" t="s">
        <v>11004</v>
      </c>
      <c r="OYE14" s="137" t="s">
        <v>11005</v>
      </c>
      <c r="OYF14" s="137" t="s">
        <v>11006</v>
      </c>
      <c r="OYG14" s="137" t="s">
        <v>11007</v>
      </c>
      <c r="OYH14" s="137" t="s">
        <v>11008</v>
      </c>
      <c r="OYI14" s="137" t="s">
        <v>11009</v>
      </c>
      <c r="OYJ14" s="137" t="s">
        <v>11010</v>
      </c>
      <c r="OYK14" s="137" t="s">
        <v>11011</v>
      </c>
      <c r="OYL14" s="137" t="s">
        <v>11012</v>
      </c>
      <c r="OYM14" s="137" t="s">
        <v>11013</v>
      </c>
      <c r="OYN14" s="137" t="s">
        <v>11014</v>
      </c>
      <c r="OYO14" s="137" t="s">
        <v>11015</v>
      </c>
      <c r="OYP14" s="137" t="s">
        <v>11016</v>
      </c>
      <c r="OYQ14" s="137" t="s">
        <v>11017</v>
      </c>
      <c r="OYR14" s="137" t="s">
        <v>11018</v>
      </c>
      <c r="OYS14" s="137" t="s">
        <v>11019</v>
      </c>
      <c r="OYT14" s="137" t="s">
        <v>11020</v>
      </c>
      <c r="OYU14" s="137" t="s">
        <v>11021</v>
      </c>
      <c r="OYV14" s="137" t="s">
        <v>11022</v>
      </c>
      <c r="OYW14" s="137" t="s">
        <v>11023</v>
      </c>
      <c r="OYX14" s="137" t="s">
        <v>11024</v>
      </c>
      <c r="OYY14" s="137" t="s">
        <v>11025</v>
      </c>
      <c r="OYZ14" s="137" t="s">
        <v>11026</v>
      </c>
      <c r="OZA14" s="137" t="s">
        <v>11027</v>
      </c>
      <c r="OZB14" s="137" t="s">
        <v>11028</v>
      </c>
      <c r="OZC14" s="137" t="s">
        <v>11029</v>
      </c>
      <c r="OZD14" s="137" t="s">
        <v>11030</v>
      </c>
      <c r="OZE14" s="137" t="s">
        <v>11031</v>
      </c>
      <c r="OZF14" s="137" t="s">
        <v>11032</v>
      </c>
      <c r="OZG14" s="137" t="s">
        <v>11033</v>
      </c>
      <c r="OZH14" s="137" t="s">
        <v>11034</v>
      </c>
      <c r="OZI14" s="137" t="s">
        <v>11035</v>
      </c>
      <c r="OZJ14" s="137" t="s">
        <v>11036</v>
      </c>
      <c r="OZK14" s="137" t="s">
        <v>11037</v>
      </c>
      <c r="OZL14" s="137" t="s">
        <v>11038</v>
      </c>
      <c r="OZM14" s="137" t="s">
        <v>11039</v>
      </c>
      <c r="OZN14" s="137" t="s">
        <v>11040</v>
      </c>
      <c r="OZO14" s="137" t="s">
        <v>11041</v>
      </c>
      <c r="OZP14" s="137" t="s">
        <v>11042</v>
      </c>
      <c r="OZQ14" s="137" t="s">
        <v>11043</v>
      </c>
      <c r="OZR14" s="137" t="s">
        <v>11044</v>
      </c>
      <c r="OZS14" s="137" t="s">
        <v>11045</v>
      </c>
      <c r="OZT14" s="137" t="s">
        <v>11046</v>
      </c>
      <c r="OZU14" s="137" t="s">
        <v>11047</v>
      </c>
      <c r="OZV14" s="137" t="s">
        <v>11048</v>
      </c>
      <c r="OZW14" s="137" t="s">
        <v>11049</v>
      </c>
      <c r="OZX14" s="137" t="s">
        <v>11050</v>
      </c>
      <c r="OZY14" s="137" t="s">
        <v>11051</v>
      </c>
      <c r="OZZ14" s="137" t="s">
        <v>11052</v>
      </c>
      <c r="PAA14" s="137" t="s">
        <v>11053</v>
      </c>
      <c r="PAB14" s="137" t="s">
        <v>11054</v>
      </c>
      <c r="PAC14" s="137" t="s">
        <v>11055</v>
      </c>
      <c r="PAD14" s="137" t="s">
        <v>11056</v>
      </c>
      <c r="PAE14" s="137" t="s">
        <v>11057</v>
      </c>
      <c r="PAF14" s="137" t="s">
        <v>11058</v>
      </c>
      <c r="PAG14" s="137" t="s">
        <v>11059</v>
      </c>
      <c r="PAH14" s="137" t="s">
        <v>11060</v>
      </c>
      <c r="PAI14" s="137" t="s">
        <v>11061</v>
      </c>
      <c r="PAJ14" s="137" t="s">
        <v>11062</v>
      </c>
      <c r="PAK14" s="137" t="s">
        <v>11063</v>
      </c>
      <c r="PAL14" s="137" t="s">
        <v>11064</v>
      </c>
      <c r="PAM14" s="137" t="s">
        <v>11065</v>
      </c>
      <c r="PAN14" s="137" t="s">
        <v>11066</v>
      </c>
      <c r="PAO14" s="137" t="s">
        <v>11067</v>
      </c>
      <c r="PAP14" s="137" t="s">
        <v>11068</v>
      </c>
      <c r="PAQ14" s="137" t="s">
        <v>11069</v>
      </c>
      <c r="PAR14" s="137" t="s">
        <v>11070</v>
      </c>
      <c r="PAS14" s="137" t="s">
        <v>11071</v>
      </c>
      <c r="PAT14" s="137" t="s">
        <v>11072</v>
      </c>
      <c r="PAU14" s="137" t="s">
        <v>11073</v>
      </c>
      <c r="PAV14" s="137" t="s">
        <v>11074</v>
      </c>
      <c r="PAW14" s="137" t="s">
        <v>11075</v>
      </c>
      <c r="PAX14" s="137" t="s">
        <v>11076</v>
      </c>
      <c r="PAY14" s="137" t="s">
        <v>11077</v>
      </c>
      <c r="PAZ14" s="137" t="s">
        <v>11078</v>
      </c>
      <c r="PBA14" s="137" t="s">
        <v>11079</v>
      </c>
      <c r="PBB14" s="137" t="s">
        <v>11080</v>
      </c>
      <c r="PBC14" s="137" t="s">
        <v>11081</v>
      </c>
      <c r="PBD14" s="137" t="s">
        <v>11082</v>
      </c>
      <c r="PBE14" s="137" t="s">
        <v>11083</v>
      </c>
      <c r="PBF14" s="137" t="s">
        <v>11084</v>
      </c>
      <c r="PBG14" s="137" t="s">
        <v>11085</v>
      </c>
      <c r="PBH14" s="137" t="s">
        <v>11086</v>
      </c>
      <c r="PBI14" s="137" t="s">
        <v>11087</v>
      </c>
      <c r="PBJ14" s="137" t="s">
        <v>11088</v>
      </c>
      <c r="PBK14" s="137" t="s">
        <v>11089</v>
      </c>
      <c r="PBL14" s="137" t="s">
        <v>11090</v>
      </c>
      <c r="PBM14" s="137" t="s">
        <v>11091</v>
      </c>
      <c r="PBN14" s="137" t="s">
        <v>11092</v>
      </c>
      <c r="PBO14" s="137" t="s">
        <v>11093</v>
      </c>
      <c r="PBP14" s="137" t="s">
        <v>11094</v>
      </c>
      <c r="PBQ14" s="137" t="s">
        <v>11095</v>
      </c>
      <c r="PBR14" s="137" t="s">
        <v>11096</v>
      </c>
      <c r="PBS14" s="137" t="s">
        <v>11097</v>
      </c>
      <c r="PBT14" s="137" t="s">
        <v>11098</v>
      </c>
      <c r="PBU14" s="137" t="s">
        <v>11099</v>
      </c>
      <c r="PBV14" s="137" t="s">
        <v>11100</v>
      </c>
      <c r="PBW14" s="137" t="s">
        <v>11101</v>
      </c>
      <c r="PBX14" s="137" t="s">
        <v>11102</v>
      </c>
      <c r="PBY14" s="137" t="s">
        <v>11103</v>
      </c>
      <c r="PBZ14" s="137" t="s">
        <v>11104</v>
      </c>
      <c r="PCA14" s="137" t="s">
        <v>11105</v>
      </c>
      <c r="PCB14" s="137" t="s">
        <v>11106</v>
      </c>
      <c r="PCC14" s="137" t="s">
        <v>11107</v>
      </c>
      <c r="PCD14" s="137" t="s">
        <v>11108</v>
      </c>
      <c r="PCE14" s="137" t="s">
        <v>11109</v>
      </c>
      <c r="PCF14" s="137" t="s">
        <v>11110</v>
      </c>
      <c r="PCG14" s="137" t="s">
        <v>11111</v>
      </c>
      <c r="PCH14" s="137" t="s">
        <v>11112</v>
      </c>
      <c r="PCI14" s="137" t="s">
        <v>11113</v>
      </c>
      <c r="PCJ14" s="137" t="s">
        <v>11114</v>
      </c>
      <c r="PCK14" s="137" t="s">
        <v>11115</v>
      </c>
      <c r="PCL14" s="137" t="s">
        <v>11116</v>
      </c>
      <c r="PCM14" s="137" t="s">
        <v>11117</v>
      </c>
      <c r="PCN14" s="137" t="s">
        <v>11118</v>
      </c>
      <c r="PCO14" s="137" t="s">
        <v>11119</v>
      </c>
      <c r="PCP14" s="137" t="s">
        <v>11120</v>
      </c>
      <c r="PCQ14" s="137" t="s">
        <v>11121</v>
      </c>
      <c r="PCR14" s="137" t="s">
        <v>11122</v>
      </c>
      <c r="PCS14" s="137" t="s">
        <v>11123</v>
      </c>
      <c r="PCT14" s="137" t="s">
        <v>11124</v>
      </c>
      <c r="PCU14" s="137" t="s">
        <v>11125</v>
      </c>
      <c r="PCV14" s="137" t="s">
        <v>11126</v>
      </c>
      <c r="PCW14" s="137" t="s">
        <v>11127</v>
      </c>
      <c r="PCX14" s="137" t="s">
        <v>11128</v>
      </c>
      <c r="PCY14" s="137" t="s">
        <v>11129</v>
      </c>
      <c r="PCZ14" s="137" t="s">
        <v>11130</v>
      </c>
      <c r="PDA14" s="137" t="s">
        <v>11131</v>
      </c>
      <c r="PDB14" s="137" t="s">
        <v>11132</v>
      </c>
      <c r="PDC14" s="137" t="s">
        <v>11133</v>
      </c>
      <c r="PDD14" s="137" t="s">
        <v>11134</v>
      </c>
      <c r="PDE14" s="137" t="s">
        <v>11135</v>
      </c>
      <c r="PDF14" s="137" t="s">
        <v>11136</v>
      </c>
      <c r="PDG14" s="137" t="s">
        <v>11137</v>
      </c>
      <c r="PDH14" s="137" t="s">
        <v>11138</v>
      </c>
      <c r="PDI14" s="137" t="s">
        <v>11139</v>
      </c>
      <c r="PDJ14" s="137" t="s">
        <v>11140</v>
      </c>
      <c r="PDK14" s="137" t="s">
        <v>11141</v>
      </c>
      <c r="PDL14" s="137" t="s">
        <v>11142</v>
      </c>
      <c r="PDM14" s="137" t="s">
        <v>11143</v>
      </c>
      <c r="PDN14" s="137" t="s">
        <v>11144</v>
      </c>
      <c r="PDO14" s="137" t="s">
        <v>11145</v>
      </c>
      <c r="PDP14" s="137" t="s">
        <v>11146</v>
      </c>
      <c r="PDQ14" s="137" t="s">
        <v>11147</v>
      </c>
      <c r="PDR14" s="137" t="s">
        <v>11148</v>
      </c>
      <c r="PDS14" s="137" t="s">
        <v>11149</v>
      </c>
      <c r="PDT14" s="137" t="s">
        <v>11150</v>
      </c>
      <c r="PDU14" s="137" t="s">
        <v>11151</v>
      </c>
      <c r="PDV14" s="137" t="s">
        <v>11152</v>
      </c>
      <c r="PDW14" s="137" t="s">
        <v>11153</v>
      </c>
      <c r="PDX14" s="137" t="s">
        <v>11154</v>
      </c>
      <c r="PDY14" s="137" t="s">
        <v>11155</v>
      </c>
      <c r="PDZ14" s="137" t="s">
        <v>11156</v>
      </c>
      <c r="PEA14" s="137" t="s">
        <v>11157</v>
      </c>
      <c r="PEB14" s="137" t="s">
        <v>11158</v>
      </c>
      <c r="PEC14" s="137" t="s">
        <v>11159</v>
      </c>
      <c r="PED14" s="137" t="s">
        <v>11160</v>
      </c>
      <c r="PEE14" s="137" t="s">
        <v>11161</v>
      </c>
      <c r="PEF14" s="137" t="s">
        <v>11162</v>
      </c>
      <c r="PEG14" s="137" t="s">
        <v>11163</v>
      </c>
      <c r="PEH14" s="137" t="s">
        <v>11164</v>
      </c>
      <c r="PEI14" s="137" t="s">
        <v>11165</v>
      </c>
      <c r="PEJ14" s="137" t="s">
        <v>11166</v>
      </c>
      <c r="PEK14" s="137" t="s">
        <v>11167</v>
      </c>
      <c r="PEL14" s="137" t="s">
        <v>11168</v>
      </c>
      <c r="PEM14" s="137" t="s">
        <v>11169</v>
      </c>
      <c r="PEN14" s="137" t="s">
        <v>11170</v>
      </c>
      <c r="PEO14" s="137" t="s">
        <v>11171</v>
      </c>
      <c r="PEP14" s="137" t="s">
        <v>11172</v>
      </c>
      <c r="PEQ14" s="137" t="s">
        <v>11173</v>
      </c>
      <c r="PER14" s="137" t="s">
        <v>11174</v>
      </c>
      <c r="PES14" s="137" t="s">
        <v>11175</v>
      </c>
      <c r="PET14" s="137" t="s">
        <v>11176</v>
      </c>
      <c r="PEU14" s="137" t="s">
        <v>11177</v>
      </c>
      <c r="PEV14" s="137" t="s">
        <v>11178</v>
      </c>
      <c r="PEW14" s="137" t="s">
        <v>11179</v>
      </c>
      <c r="PEX14" s="137" t="s">
        <v>11180</v>
      </c>
      <c r="PEY14" s="137" t="s">
        <v>11181</v>
      </c>
      <c r="PEZ14" s="137" t="s">
        <v>11182</v>
      </c>
      <c r="PFA14" s="137" t="s">
        <v>11183</v>
      </c>
      <c r="PFB14" s="137" t="s">
        <v>11184</v>
      </c>
      <c r="PFC14" s="137" t="s">
        <v>11185</v>
      </c>
      <c r="PFD14" s="137" t="s">
        <v>11186</v>
      </c>
      <c r="PFE14" s="137" t="s">
        <v>11187</v>
      </c>
      <c r="PFF14" s="137" t="s">
        <v>11188</v>
      </c>
      <c r="PFG14" s="137" t="s">
        <v>11189</v>
      </c>
      <c r="PFH14" s="137" t="s">
        <v>11190</v>
      </c>
      <c r="PFI14" s="137" t="s">
        <v>11191</v>
      </c>
      <c r="PFJ14" s="137" t="s">
        <v>11192</v>
      </c>
      <c r="PFK14" s="137" t="s">
        <v>11193</v>
      </c>
      <c r="PFL14" s="137" t="s">
        <v>11194</v>
      </c>
      <c r="PFM14" s="137" t="s">
        <v>11195</v>
      </c>
      <c r="PFN14" s="137" t="s">
        <v>11196</v>
      </c>
      <c r="PFO14" s="137" t="s">
        <v>11197</v>
      </c>
      <c r="PFP14" s="137" t="s">
        <v>11198</v>
      </c>
      <c r="PFQ14" s="137" t="s">
        <v>11199</v>
      </c>
      <c r="PFR14" s="137" t="s">
        <v>11200</v>
      </c>
      <c r="PFS14" s="137" t="s">
        <v>11201</v>
      </c>
      <c r="PFT14" s="137" t="s">
        <v>11202</v>
      </c>
      <c r="PFU14" s="137" t="s">
        <v>11203</v>
      </c>
      <c r="PFV14" s="137" t="s">
        <v>11204</v>
      </c>
      <c r="PFW14" s="137" t="s">
        <v>11205</v>
      </c>
      <c r="PFX14" s="137" t="s">
        <v>11206</v>
      </c>
      <c r="PFY14" s="137" t="s">
        <v>11207</v>
      </c>
      <c r="PFZ14" s="137" t="s">
        <v>11208</v>
      </c>
      <c r="PGA14" s="137" t="s">
        <v>11209</v>
      </c>
      <c r="PGB14" s="137" t="s">
        <v>11210</v>
      </c>
      <c r="PGC14" s="137" t="s">
        <v>11211</v>
      </c>
      <c r="PGD14" s="137" t="s">
        <v>11212</v>
      </c>
      <c r="PGE14" s="137" t="s">
        <v>11213</v>
      </c>
      <c r="PGF14" s="137" t="s">
        <v>11214</v>
      </c>
      <c r="PGG14" s="137" t="s">
        <v>11215</v>
      </c>
      <c r="PGH14" s="137" t="s">
        <v>11216</v>
      </c>
      <c r="PGI14" s="137" t="s">
        <v>11217</v>
      </c>
      <c r="PGJ14" s="137" t="s">
        <v>11218</v>
      </c>
      <c r="PGK14" s="137" t="s">
        <v>11219</v>
      </c>
      <c r="PGL14" s="137" t="s">
        <v>11220</v>
      </c>
      <c r="PGM14" s="137" t="s">
        <v>11221</v>
      </c>
      <c r="PGN14" s="137" t="s">
        <v>11222</v>
      </c>
      <c r="PGO14" s="137" t="s">
        <v>11223</v>
      </c>
      <c r="PGP14" s="137" t="s">
        <v>11224</v>
      </c>
      <c r="PGQ14" s="137" t="s">
        <v>11225</v>
      </c>
      <c r="PGR14" s="137" t="s">
        <v>11226</v>
      </c>
      <c r="PGS14" s="137" t="s">
        <v>11227</v>
      </c>
      <c r="PGT14" s="137" t="s">
        <v>11228</v>
      </c>
      <c r="PGU14" s="137" t="s">
        <v>11229</v>
      </c>
      <c r="PGV14" s="137" t="s">
        <v>11230</v>
      </c>
      <c r="PGW14" s="137" t="s">
        <v>11231</v>
      </c>
      <c r="PGX14" s="137" t="s">
        <v>11232</v>
      </c>
      <c r="PGY14" s="137" t="s">
        <v>11233</v>
      </c>
      <c r="PGZ14" s="137" t="s">
        <v>11234</v>
      </c>
      <c r="PHA14" s="137" t="s">
        <v>11235</v>
      </c>
      <c r="PHB14" s="137" t="s">
        <v>11236</v>
      </c>
      <c r="PHC14" s="137" t="s">
        <v>11237</v>
      </c>
      <c r="PHD14" s="137" t="s">
        <v>11238</v>
      </c>
      <c r="PHE14" s="137" t="s">
        <v>11239</v>
      </c>
      <c r="PHF14" s="137" t="s">
        <v>11240</v>
      </c>
      <c r="PHG14" s="137" t="s">
        <v>11241</v>
      </c>
      <c r="PHH14" s="137" t="s">
        <v>11242</v>
      </c>
      <c r="PHI14" s="137" t="s">
        <v>11243</v>
      </c>
      <c r="PHJ14" s="137" t="s">
        <v>11244</v>
      </c>
      <c r="PHK14" s="137" t="s">
        <v>11245</v>
      </c>
      <c r="PHL14" s="137" t="s">
        <v>11246</v>
      </c>
      <c r="PHM14" s="137" t="s">
        <v>11247</v>
      </c>
      <c r="PHN14" s="137" t="s">
        <v>11248</v>
      </c>
      <c r="PHO14" s="137" t="s">
        <v>11249</v>
      </c>
      <c r="PHP14" s="137" t="s">
        <v>11250</v>
      </c>
      <c r="PHQ14" s="137" t="s">
        <v>11251</v>
      </c>
      <c r="PHR14" s="137" t="s">
        <v>11252</v>
      </c>
      <c r="PHS14" s="137" t="s">
        <v>11253</v>
      </c>
      <c r="PHT14" s="137" t="s">
        <v>11254</v>
      </c>
      <c r="PHU14" s="137" t="s">
        <v>11255</v>
      </c>
      <c r="PHV14" s="137" t="s">
        <v>11256</v>
      </c>
      <c r="PHW14" s="137" t="s">
        <v>11257</v>
      </c>
      <c r="PHX14" s="137" t="s">
        <v>11258</v>
      </c>
      <c r="PHY14" s="137" t="s">
        <v>11259</v>
      </c>
      <c r="PHZ14" s="137" t="s">
        <v>11260</v>
      </c>
      <c r="PIA14" s="137" t="s">
        <v>11261</v>
      </c>
      <c r="PIB14" s="137" t="s">
        <v>11262</v>
      </c>
      <c r="PIC14" s="137" t="s">
        <v>11263</v>
      </c>
      <c r="PID14" s="137" t="s">
        <v>11264</v>
      </c>
      <c r="PIE14" s="137" t="s">
        <v>11265</v>
      </c>
      <c r="PIF14" s="137" t="s">
        <v>11266</v>
      </c>
      <c r="PIG14" s="137" t="s">
        <v>11267</v>
      </c>
      <c r="PIH14" s="137" t="s">
        <v>11268</v>
      </c>
      <c r="PII14" s="137" t="s">
        <v>11269</v>
      </c>
      <c r="PIJ14" s="137" t="s">
        <v>11270</v>
      </c>
      <c r="PIK14" s="137" t="s">
        <v>11271</v>
      </c>
      <c r="PIL14" s="137" t="s">
        <v>11272</v>
      </c>
      <c r="PIM14" s="137" t="s">
        <v>11273</v>
      </c>
      <c r="PIN14" s="137" t="s">
        <v>11274</v>
      </c>
      <c r="PIO14" s="137" t="s">
        <v>11275</v>
      </c>
      <c r="PIP14" s="137" t="s">
        <v>11276</v>
      </c>
      <c r="PIQ14" s="137" t="s">
        <v>11277</v>
      </c>
      <c r="PIR14" s="137" t="s">
        <v>11278</v>
      </c>
      <c r="PIS14" s="137" t="s">
        <v>11279</v>
      </c>
      <c r="PIT14" s="137" t="s">
        <v>11280</v>
      </c>
      <c r="PIU14" s="137" t="s">
        <v>11281</v>
      </c>
      <c r="PIV14" s="137" t="s">
        <v>11282</v>
      </c>
      <c r="PIW14" s="137" t="s">
        <v>11283</v>
      </c>
      <c r="PIX14" s="137" t="s">
        <v>11284</v>
      </c>
      <c r="PIY14" s="137" t="s">
        <v>11285</v>
      </c>
      <c r="PIZ14" s="137" t="s">
        <v>11286</v>
      </c>
      <c r="PJA14" s="137" t="s">
        <v>11287</v>
      </c>
      <c r="PJB14" s="137" t="s">
        <v>11288</v>
      </c>
      <c r="PJC14" s="137" t="s">
        <v>11289</v>
      </c>
      <c r="PJD14" s="137" t="s">
        <v>11290</v>
      </c>
      <c r="PJE14" s="137" t="s">
        <v>11291</v>
      </c>
      <c r="PJF14" s="137" t="s">
        <v>11292</v>
      </c>
      <c r="PJG14" s="137" t="s">
        <v>11293</v>
      </c>
      <c r="PJH14" s="137" t="s">
        <v>11294</v>
      </c>
      <c r="PJI14" s="137" t="s">
        <v>11295</v>
      </c>
      <c r="PJJ14" s="137" t="s">
        <v>11296</v>
      </c>
      <c r="PJK14" s="137" t="s">
        <v>11297</v>
      </c>
      <c r="PJL14" s="137" t="s">
        <v>11298</v>
      </c>
      <c r="PJM14" s="137" t="s">
        <v>11299</v>
      </c>
      <c r="PJN14" s="137" t="s">
        <v>11300</v>
      </c>
      <c r="PJO14" s="137" t="s">
        <v>11301</v>
      </c>
      <c r="PJP14" s="137" t="s">
        <v>11302</v>
      </c>
      <c r="PJQ14" s="137" t="s">
        <v>11303</v>
      </c>
      <c r="PJR14" s="137" t="s">
        <v>11304</v>
      </c>
      <c r="PJS14" s="137" t="s">
        <v>11305</v>
      </c>
      <c r="PJT14" s="137" t="s">
        <v>11306</v>
      </c>
      <c r="PJU14" s="137" t="s">
        <v>11307</v>
      </c>
      <c r="PJV14" s="137" t="s">
        <v>11308</v>
      </c>
      <c r="PJW14" s="137" t="s">
        <v>11309</v>
      </c>
      <c r="PJX14" s="137" t="s">
        <v>11310</v>
      </c>
      <c r="PJY14" s="137" t="s">
        <v>11311</v>
      </c>
      <c r="PJZ14" s="137" t="s">
        <v>11312</v>
      </c>
      <c r="PKA14" s="137" t="s">
        <v>11313</v>
      </c>
      <c r="PKB14" s="137" t="s">
        <v>11314</v>
      </c>
      <c r="PKC14" s="137" t="s">
        <v>11315</v>
      </c>
      <c r="PKD14" s="137" t="s">
        <v>11316</v>
      </c>
      <c r="PKE14" s="137" t="s">
        <v>11317</v>
      </c>
      <c r="PKF14" s="137" t="s">
        <v>11318</v>
      </c>
      <c r="PKG14" s="137" t="s">
        <v>11319</v>
      </c>
      <c r="PKH14" s="137" t="s">
        <v>11320</v>
      </c>
      <c r="PKI14" s="137" t="s">
        <v>11321</v>
      </c>
      <c r="PKJ14" s="137" t="s">
        <v>11322</v>
      </c>
      <c r="PKK14" s="137" t="s">
        <v>11323</v>
      </c>
      <c r="PKL14" s="137" t="s">
        <v>11324</v>
      </c>
      <c r="PKM14" s="137" t="s">
        <v>11325</v>
      </c>
      <c r="PKN14" s="137" t="s">
        <v>11326</v>
      </c>
      <c r="PKO14" s="137" t="s">
        <v>11327</v>
      </c>
      <c r="PKP14" s="137" t="s">
        <v>11328</v>
      </c>
      <c r="PKQ14" s="137" t="s">
        <v>11329</v>
      </c>
      <c r="PKR14" s="137" t="s">
        <v>11330</v>
      </c>
      <c r="PKS14" s="137" t="s">
        <v>11331</v>
      </c>
      <c r="PKT14" s="137" t="s">
        <v>11332</v>
      </c>
      <c r="PKU14" s="137" t="s">
        <v>11333</v>
      </c>
      <c r="PKV14" s="137" t="s">
        <v>11334</v>
      </c>
      <c r="PKW14" s="137" t="s">
        <v>11335</v>
      </c>
      <c r="PKX14" s="137" t="s">
        <v>11336</v>
      </c>
      <c r="PKY14" s="137" t="s">
        <v>11337</v>
      </c>
      <c r="PKZ14" s="137" t="s">
        <v>11338</v>
      </c>
      <c r="PLA14" s="137" t="s">
        <v>11339</v>
      </c>
      <c r="PLB14" s="137" t="s">
        <v>11340</v>
      </c>
      <c r="PLC14" s="137" t="s">
        <v>11341</v>
      </c>
      <c r="PLD14" s="137" t="s">
        <v>11342</v>
      </c>
      <c r="PLE14" s="137" t="s">
        <v>11343</v>
      </c>
      <c r="PLF14" s="137" t="s">
        <v>11344</v>
      </c>
      <c r="PLG14" s="137" t="s">
        <v>11345</v>
      </c>
      <c r="PLH14" s="137" t="s">
        <v>11346</v>
      </c>
      <c r="PLI14" s="137" t="s">
        <v>11347</v>
      </c>
      <c r="PLJ14" s="137" t="s">
        <v>11348</v>
      </c>
      <c r="PLK14" s="137" t="s">
        <v>11349</v>
      </c>
      <c r="PLL14" s="137" t="s">
        <v>11350</v>
      </c>
      <c r="PLM14" s="137" t="s">
        <v>11351</v>
      </c>
      <c r="PLN14" s="137" t="s">
        <v>11352</v>
      </c>
      <c r="PLO14" s="137" t="s">
        <v>11353</v>
      </c>
      <c r="PLP14" s="137" t="s">
        <v>11354</v>
      </c>
      <c r="PLQ14" s="137" t="s">
        <v>11355</v>
      </c>
      <c r="PLR14" s="137" t="s">
        <v>11356</v>
      </c>
      <c r="PLS14" s="137" t="s">
        <v>11357</v>
      </c>
      <c r="PLT14" s="137" t="s">
        <v>11358</v>
      </c>
      <c r="PLU14" s="137" t="s">
        <v>11359</v>
      </c>
      <c r="PLV14" s="137" t="s">
        <v>11360</v>
      </c>
      <c r="PLW14" s="137" t="s">
        <v>11361</v>
      </c>
      <c r="PLX14" s="137" t="s">
        <v>11362</v>
      </c>
      <c r="PLY14" s="137" t="s">
        <v>11363</v>
      </c>
      <c r="PLZ14" s="137" t="s">
        <v>11364</v>
      </c>
      <c r="PMA14" s="137" t="s">
        <v>11365</v>
      </c>
      <c r="PMB14" s="137" t="s">
        <v>11366</v>
      </c>
      <c r="PMC14" s="137" t="s">
        <v>11367</v>
      </c>
      <c r="PMD14" s="137" t="s">
        <v>11368</v>
      </c>
      <c r="PME14" s="137" t="s">
        <v>11369</v>
      </c>
      <c r="PMF14" s="137" t="s">
        <v>11370</v>
      </c>
      <c r="PMG14" s="137" t="s">
        <v>11371</v>
      </c>
      <c r="PMH14" s="137" t="s">
        <v>11372</v>
      </c>
      <c r="PMI14" s="137" t="s">
        <v>11373</v>
      </c>
      <c r="PMJ14" s="137" t="s">
        <v>11374</v>
      </c>
      <c r="PMK14" s="137" t="s">
        <v>11375</v>
      </c>
      <c r="PML14" s="137" t="s">
        <v>11376</v>
      </c>
      <c r="PMM14" s="137" t="s">
        <v>11377</v>
      </c>
      <c r="PMN14" s="137" t="s">
        <v>11378</v>
      </c>
      <c r="PMO14" s="137" t="s">
        <v>11379</v>
      </c>
      <c r="PMP14" s="137" t="s">
        <v>11380</v>
      </c>
      <c r="PMQ14" s="137" t="s">
        <v>11381</v>
      </c>
      <c r="PMR14" s="137" t="s">
        <v>11382</v>
      </c>
      <c r="PMS14" s="137" t="s">
        <v>11383</v>
      </c>
      <c r="PMT14" s="137" t="s">
        <v>11384</v>
      </c>
      <c r="PMU14" s="137" t="s">
        <v>11385</v>
      </c>
      <c r="PMV14" s="137" t="s">
        <v>11386</v>
      </c>
      <c r="PMW14" s="137" t="s">
        <v>11387</v>
      </c>
      <c r="PMX14" s="137" t="s">
        <v>11388</v>
      </c>
      <c r="PMY14" s="137" t="s">
        <v>11389</v>
      </c>
      <c r="PMZ14" s="137" t="s">
        <v>11390</v>
      </c>
      <c r="PNA14" s="137" t="s">
        <v>11391</v>
      </c>
      <c r="PNB14" s="137" t="s">
        <v>11392</v>
      </c>
      <c r="PNC14" s="137" t="s">
        <v>11393</v>
      </c>
      <c r="PND14" s="137" t="s">
        <v>11394</v>
      </c>
      <c r="PNE14" s="137" t="s">
        <v>11395</v>
      </c>
      <c r="PNF14" s="137" t="s">
        <v>11396</v>
      </c>
      <c r="PNG14" s="137" t="s">
        <v>11397</v>
      </c>
      <c r="PNH14" s="137" t="s">
        <v>11398</v>
      </c>
      <c r="PNI14" s="137" t="s">
        <v>11399</v>
      </c>
      <c r="PNJ14" s="137" t="s">
        <v>11400</v>
      </c>
      <c r="PNK14" s="137" t="s">
        <v>11401</v>
      </c>
      <c r="PNL14" s="137" t="s">
        <v>11402</v>
      </c>
      <c r="PNM14" s="137" t="s">
        <v>11403</v>
      </c>
      <c r="PNN14" s="137" t="s">
        <v>11404</v>
      </c>
      <c r="PNO14" s="137" t="s">
        <v>11405</v>
      </c>
      <c r="PNP14" s="137" t="s">
        <v>11406</v>
      </c>
      <c r="PNQ14" s="137" t="s">
        <v>11407</v>
      </c>
      <c r="PNR14" s="137" t="s">
        <v>11408</v>
      </c>
      <c r="PNS14" s="137" t="s">
        <v>11409</v>
      </c>
      <c r="PNT14" s="137" t="s">
        <v>11410</v>
      </c>
      <c r="PNU14" s="137" t="s">
        <v>11411</v>
      </c>
      <c r="PNV14" s="137" t="s">
        <v>11412</v>
      </c>
      <c r="PNW14" s="137" t="s">
        <v>11413</v>
      </c>
      <c r="PNX14" s="137" t="s">
        <v>11414</v>
      </c>
      <c r="PNY14" s="137" t="s">
        <v>11415</v>
      </c>
      <c r="PNZ14" s="137" t="s">
        <v>11416</v>
      </c>
      <c r="POA14" s="137" t="s">
        <v>11417</v>
      </c>
      <c r="POB14" s="137" t="s">
        <v>11418</v>
      </c>
      <c r="POC14" s="137" t="s">
        <v>11419</v>
      </c>
      <c r="POD14" s="137" t="s">
        <v>11420</v>
      </c>
      <c r="POE14" s="137" t="s">
        <v>11421</v>
      </c>
      <c r="POF14" s="137" t="s">
        <v>11422</v>
      </c>
      <c r="POG14" s="137" t="s">
        <v>11423</v>
      </c>
      <c r="POH14" s="137" t="s">
        <v>11424</v>
      </c>
      <c r="POI14" s="137" t="s">
        <v>11425</v>
      </c>
      <c r="POJ14" s="137" t="s">
        <v>11426</v>
      </c>
      <c r="POK14" s="137" t="s">
        <v>11427</v>
      </c>
      <c r="POL14" s="137" t="s">
        <v>11428</v>
      </c>
      <c r="POM14" s="137" t="s">
        <v>11429</v>
      </c>
      <c r="PON14" s="137" t="s">
        <v>11430</v>
      </c>
      <c r="POO14" s="137" t="s">
        <v>11431</v>
      </c>
      <c r="POP14" s="137" t="s">
        <v>11432</v>
      </c>
      <c r="POQ14" s="137" t="s">
        <v>11433</v>
      </c>
      <c r="POR14" s="137" t="s">
        <v>11434</v>
      </c>
      <c r="POS14" s="137" t="s">
        <v>11435</v>
      </c>
      <c r="POT14" s="137" t="s">
        <v>11436</v>
      </c>
      <c r="POU14" s="137" t="s">
        <v>11437</v>
      </c>
      <c r="POV14" s="137" t="s">
        <v>11438</v>
      </c>
      <c r="POW14" s="137" t="s">
        <v>11439</v>
      </c>
      <c r="POX14" s="137" t="s">
        <v>11440</v>
      </c>
      <c r="POY14" s="137" t="s">
        <v>11441</v>
      </c>
      <c r="POZ14" s="137" t="s">
        <v>11442</v>
      </c>
      <c r="PPA14" s="137" t="s">
        <v>11443</v>
      </c>
      <c r="PPB14" s="137" t="s">
        <v>11444</v>
      </c>
      <c r="PPC14" s="137" t="s">
        <v>11445</v>
      </c>
      <c r="PPD14" s="137" t="s">
        <v>11446</v>
      </c>
      <c r="PPE14" s="137" t="s">
        <v>11447</v>
      </c>
      <c r="PPF14" s="137" t="s">
        <v>11448</v>
      </c>
      <c r="PPG14" s="137" t="s">
        <v>11449</v>
      </c>
      <c r="PPH14" s="137" t="s">
        <v>11450</v>
      </c>
      <c r="PPI14" s="137" t="s">
        <v>11451</v>
      </c>
      <c r="PPJ14" s="137" t="s">
        <v>11452</v>
      </c>
      <c r="PPK14" s="137" t="s">
        <v>11453</v>
      </c>
      <c r="PPL14" s="137" t="s">
        <v>11454</v>
      </c>
      <c r="PPM14" s="137" t="s">
        <v>11455</v>
      </c>
      <c r="PPN14" s="137" t="s">
        <v>11456</v>
      </c>
      <c r="PPO14" s="137" t="s">
        <v>11457</v>
      </c>
      <c r="PPP14" s="137" t="s">
        <v>11458</v>
      </c>
      <c r="PPQ14" s="137" t="s">
        <v>11459</v>
      </c>
      <c r="PPR14" s="137" t="s">
        <v>11460</v>
      </c>
      <c r="PPS14" s="137" t="s">
        <v>11461</v>
      </c>
      <c r="PPT14" s="137" t="s">
        <v>11462</v>
      </c>
      <c r="PPU14" s="137" t="s">
        <v>11463</v>
      </c>
      <c r="PPV14" s="137" t="s">
        <v>11464</v>
      </c>
      <c r="PPW14" s="137" t="s">
        <v>11465</v>
      </c>
      <c r="PPX14" s="137" t="s">
        <v>11466</v>
      </c>
      <c r="PPY14" s="137" t="s">
        <v>11467</v>
      </c>
      <c r="PPZ14" s="137" t="s">
        <v>11468</v>
      </c>
      <c r="PQA14" s="137" t="s">
        <v>11469</v>
      </c>
      <c r="PQB14" s="137" t="s">
        <v>11470</v>
      </c>
      <c r="PQC14" s="137" t="s">
        <v>11471</v>
      </c>
      <c r="PQD14" s="137" t="s">
        <v>11472</v>
      </c>
      <c r="PQE14" s="137" t="s">
        <v>11473</v>
      </c>
      <c r="PQF14" s="137" t="s">
        <v>11474</v>
      </c>
      <c r="PQG14" s="137" t="s">
        <v>11475</v>
      </c>
      <c r="PQH14" s="137" t="s">
        <v>11476</v>
      </c>
      <c r="PQI14" s="137" t="s">
        <v>11477</v>
      </c>
      <c r="PQJ14" s="137" t="s">
        <v>11478</v>
      </c>
      <c r="PQK14" s="137" t="s">
        <v>11479</v>
      </c>
      <c r="PQL14" s="137" t="s">
        <v>11480</v>
      </c>
      <c r="PQM14" s="137" t="s">
        <v>11481</v>
      </c>
      <c r="PQN14" s="137" t="s">
        <v>11482</v>
      </c>
      <c r="PQO14" s="137" t="s">
        <v>11483</v>
      </c>
      <c r="PQP14" s="137" t="s">
        <v>11484</v>
      </c>
      <c r="PQQ14" s="137" t="s">
        <v>11485</v>
      </c>
      <c r="PQR14" s="137" t="s">
        <v>11486</v>
      </c>
      <c r="PQS14" s="137" t="s">
        <v>11487</v>
      </c>
      <c r="PQT14" s="137" t="s">
        <v>11488</v>
      </c>
      <c r="PQU14" s="137" t="s">
        <v>11489</v>
      </c>
      <c r="PQV14" s="137" t="s">
        <v>11490</v>
      </c>
      <c r="PQW14" s="137" t="s">
        <v>11491</v>
      </c>
      <c r="PQX14" s="137" t="s">
        <v>11492</v>
      </c>
      <c r="PQY14" s="137" t="s">
        <v>11493</v>
      </c>
      <c r="PQZ14" s="137" t="s">
        <v>11494</v>
      </c>
      <c r="PRA14" s="137" t="s">
        <v>11495</v>
      </c>
      <c r="PRB14" s="137" t="s">
        <v>11496</v>
      </c>
      <c r="PRC14" s="137" t="s">
        <v>11497</v>
      </c>
      <c r="PRD14" s="137" t="s">
        <v>11498</v>
      </c>
      <c r="PRE14" s="137" t="s">
        <v>11499</v>
      </c>
      <c r="PRF14" s="137" t="s">
        <v>11500</v>
      </c>
      <c r="PRG14" s="137" t="s">
        <v>11501</v>
      </c>
      <c r="PRH14" s="137" t="s">
        <v>11502</v>
      </c>
      <c r="PRI14" s="137" t="s">
        <v>11503</v>
      </c>
      <c r="PRJ14" s="137" t="s">
        <v>11504</v>
      </c>
      <c r="PRK14" s="137" t="s">
        <v>11505</v>
      </c>
      <c r="PRL14" s="137" t="s">
        <v>11506</v>
      </c>
      <c r="PRM14" s="137" t="s">
        <v>11507</v>
      </c>
      <c r="PRN14" s="137" t="s">
        <v>11508</v>
      </c>
      <c r="PRO14" s="137" t="s">
        <v>11509</v>
      </c>
      <c r="PRP14" s="137" t="s">
        <v>11510</v>
      </c>
      <c r="PRQ14" s="137" t="s">
        <v>11511</v>
      </c>
      <c r="PRR14" s="137" t="s">
        <v>11512</v>
      </c>
      <c r="PRS14" s="137" t="s">
        <v>11513</v>
      </c>
      <c r="PRT14" s="137" t="s">
        <v>11514</v>
      </c>
      <c r="PRU14" s="137" t="s">
        <v>11515</v>
      </c>
      <c r="PRV14" s="137" t="s">
        <v>11516</v>
      </c>
      <c r="PRW14" s="137" t="s">
        <v>11517</v>
      </c>
      <c r="PRX14" s="137" t="s">
        <v>11518</v>
      </c>
      <c r="PRY14" s="137" t="s">
        <v>11519</v>
      </c>
      <c r="PRZ14" s="137" t="s">
        <v>11520</v>
      </c>
      <c r="PSA14" s="137" t="s">
        <v>11521</v>
      </c>
      <c r="PSB14" s="137" t="s">
        <v>11522</v>
      </c>
      <c r="PSC14" s="137" t="s">
        <v>11523</v>
      </c>
      <c r="PSD14" s="137" t="s">
        <v>11524</v>
      </c>
      <c r="PSE14" s="137" t="s">
        <v>11525</v>
      </c>
      <c r="PSF14" s="137" t="s">
        <v>11526</v>
      </c>
      <c r="PSG14" s="137" t="s">
        <v>11527</v>
      </c>
      <c r="PSH14" s="137" t="s">
        <v>11528</v>
      </c>
      <c r="PSI14" s="137" t="s">
        <v>11529</v>
      </c>
      <c r="PSJ14" s="137" t="s">
        <v>11530</v>
      </c>
      <c r="PSK14" s="137" t="s">
        <v>11531</v>
      </c>
      <c r="PSL14" s="137" t="s">
        <v>11532</v>
      </c>
      <c r="PSM14" s="137" t="s">
        <v>11533</v>
      </c>
      <c r="PSN14" s="137" t="s">
        <v>11534</v>
      </c>
      <c r="PSO14" s="137" t="s">
        <v>11535</v>
      </c>
      <c r="PSP14" s="137" t="s">
        <v>11536</v>
      </c>
      <c r="PSQ14" s="137" t="s">
        <v>11537</v>
      </c>
      <c r="PSR14" s="137" t="s">
        <v>11538</v>
      </c>
      <c r="PSS14" s="137" t="s">
        <v>11539</v>
      </c>
      <c r="PST14" s="137" t="s">
        <v>11540</v>
      </c>
      <c r="PSU14" s="137" t="s">
        <v>11541</v>
      </c>
      <c r="PSV14" s="137" t="s">
        <v>11542</v>
      </c>
      <c r="PSW14" s="137" t="s">
        <v>11543</v>
      </c>
      <c r="PSX14" s="137" t="s">
        <v>11544</v>
      </c>
      <c r="PSY14" s="137" t="s">
        <v>11545</v>
      </c>
      <c r="PSZ14" s="137" t="s">
        <v>11546</v>
      </c>
      <c r="PTA14" s="137" t="s">
        <v>11547</v>
      </c>
      <c r="PTB14" s="137" t="s">
        <v>11548</v>
      </c>
      <c r="PTC14" s="137" t="s">
        <v>11549</v>
      </c>
      <c r="PTD14" s="137" t="s">
        <v>11550</v>
      </c>
      <c r="PTE14" s="137" t="s">
        <v>11551</v>
      </c>
      <c r="PTF14" s="137" t="s">
        <v>11552</v>
      </c>
      <c r="PTG14" s="137" t="s">
        <v>11553</v>
      </c>
      <c r="PTH14" s="137" t="s">
        <v>11554</v>
      </c>
      <c r="PTI14" s="137" t="s">
        <v>11555</v>
      </c>
      <c r="PTJ14" s="137" t="s">
        <v>11556</v>
      </c>
      <c r="PTK14" s="137" t="s">
        <v>11557</v>
      </c>
      <c r="PTL14" s="137" t="s">
        <v>11558</v>
      </c>
      <c r="PTM14" s="137" t="s">
        <v>11559</v>
      </c>
      <c r="PTN14" s="137" t="s">
        <v>11560</v>
      </c>
      <c r="PTO14" s="137" t="s">
        <v>11561</v>
      </c>
      <c r="PTP14" s="137" t="s">
        <v>11562</v>
      </c>
      <c r="PTQ14" s="137" t="s">
        <v>11563</v>
      </c>
      <c r="PTR14" s="137" t="s">
        <v>11564</v>
      </c>
      <c r="PTS14" s="137" t="s">
        <v>11565</v>
      </c>
      <c r="PTT14" s="137" t="s">
        <v>11566</v>
      </c>
      <c r="PTU14" s="137" t="s">
        <v>11567</v>
      </c>
      <c r="PTV14" s="137" t="s">
        <v>11568</v>
      </c>
      <c r="PTW14" s="137" t="s">
        <v>11569</v>
      </c>
      <c r="PTX14" s="137" t="s">
        <v>11570</v>
      </c>
      <c r="PTY14" s="137" t="s">
        <v>11571</v>
      </c>
      <c r="PTZ14" s="137" t="s">
        <v>11572</v>
      </c>
      <c r="PUA14" s="137" t="s">
        <v>11573</v>
      </c>
      <c r="PUB14" s="137" t="s">
        <v>11574</v>
      </c>
      <c r="PUC14" s="137" t="s">
        <v>11575</v>
      </c>
      <c r="PUD14" s="137" t="s">
        <v>11576</v>
      </c>
      <c r="PUE14" s="137" t="s">
        <v>11577</v>
      </c>
      <c r="PUF14" s="137" t="s">
        <v>11578</v>
      </c>
      <c r="PUG14" s="137" t="s">
        <v>11579</v>
      </c>
      <c r="PUH14" s="137" t="s">
        <v>11580</v>
      </c>
      <c r="PUI14" s="137" t="s">
        <v>11581</v>
      </c>
      <c r="PUJ14" s="137" t="s">
        <v>11582</v>
      </c>
      <c r="PUK14" s="137" t="s">
        <v>11583</v>
      </c>
      <c r="PUL14" s="137" t="s">
        <v>11584</v>
      </c>
      <c r="PUM14" s="137" t="s">
        <v>11585</v>
      </c>
      <c r="PUN14" s="137" t="s">
        <v>11586</v>
      </c>
      <c r="PUO14" s="137" t="s">
        <v>11587</v>
      </c>
      <c r="PUP14" s="137" t="s">
        <v>11588</v>
      </c>
      <c r="PUQ14" s="137" t="s">
        <v>11589</v>
      </c>
      <c r="PUR14" s="137" t="s">
        <v>11590</v>
      </c>
      <c r="PUS14" s="137" t="s">
        <v>11591</v>
      </c>
      <c r="PUT14" s="137" t="s">
        <v>11592</v>
      </c>
      <c r="PUU14" s="137" t="s">
        <v>11593</v>
      </c>
      <c r="PUV14" s="137" t="s">
        <v>11594</v>
      </c>
      <c r="PUW14" s="137" t="s">
        <v>11595</v>
      </c>
      <c r="PUX14" s="137" t="s">
        <v>11596</v>
      </c>
      <c r="PUY14" s="137" t="s">
        <v>11597</v>
      </c>
      <c r="PUZ14" s="137" t="s">
        <v>11598</v>
      </c>
      <c r="PVA14" s="137" t="s">
        <v>11599</v>
      </c>
      <c r="PVB14" s="137" t="s">
        <v>11600</v>
      </c>
      <c r="PVC14" s="137" t="s">
        <v>11601</v>
      </c>
      <c r="PVD14" s="137" t="s">
        <v>11602</v>
      </c>
      <c r="PVE14" s="137" t="s">
        <v>11603</v>
      </c>
      <c r="PVF14" s="137" t="s">
        <v>11604</v>
      </c>
      <c r="PVG14" s="137" t="s">
        <v>11605</v>
      </c>
      <c r="PVH14" s="137" t="s">
        <v>11606</v>
      </c>
      <c r="PVI14" s="137" t="s">
        <v>11607</v>
      </c>
      <c r="PVJ14" s="137" t="s">
        <v>11608</v>
      </c>
      <c r="PVK14" s="137" t="s">
        <v>11609</v>
      </c>
      <c r="PVL14" s="137" t="s">
        <v>11610</v>
      </c>
      <c r="PVM14" s="137" t="s">
        <v>11611</v>
      </c>
      <c r="PVN14" s="137" t="s">
        <v>11612</v>
      </c>
      <c r="PVO14" s="137" t="s">
        <v>11613</v>
      </c>
      <c r="PVP14" s="137" t="s">
        <v>11614</v>
      </c>
      <c r="PVQ14" s="137" t="s">
        <v>11615</v>
      </c>
      <c r="PVR14" s="137" t="s">
        <v>11616</v>
      </c>
      <c r="PVS14" s="137" t="s">
        <v>11617</v>
      </c>
      <c r="PVT14" s="137" t="s">
        <v>11618</v>
      </c>
      <c r="PVU14" s="137" t="s">
        <v>11619</v>
      </c>
      <c r="PVV14" s="137" t="s">
        <v>11620</v>
      </c>
      <c r="PVW14" s="137" t="s">
        <v>11621</v>
      </c>
      <c r="PVX14" s="137" t="s">
        <v>11622</v>
      </c>
      <c r="PVY14" s="137" t="s">
        <v>11623</v>
      </c>
      <c r="PVZ14" s="137" t="s">
        <v>11624</v>
      </c>
      <c r="PWA14" s="137" t="s">
        <v>11625</v>
      </c>
      <c r="PWB14" s="137" t="s">
        <v>11626</v>
      </c>
      <c r="PWC14" s="137" t="s">
        <v>11627</v>
      </c>
      <c r="PWD14" s="137" t="s">
        <v>11628</v>
      </c>
      <c r="PWE14" s="137" t="s">
        <v>11629</v>
      </c>
      <c r="PWF14" s="137" t="s">
        <v>11630</v>
      </c>
      <c r="PWG14" s="137" t="s">
        <v>11631</v>
      </c>
      <c r="PWH14" s="137" t="s">
        <v>11632</v>
      </c>
      <c r="PWI14" s="137" t="s">
        <v>11633</v>
      </c>
      <c r="PWJ14" s="137" t="s">
        <v>11634</v>
      </c>
      <c r="PWK14" s="137" t="s">
        <v>11635</v>
      </c>
      <c r="PWL14" s="137" t="s">
        <v>11636</v>
      </c>
      <c r="PWM14" s="137" t="s">
        <v>11637</v>
      </c>
      <c r="PWN14" s="137" t="s">
        <v>11638</v>
      </c>
      <c r="PWO14" s="137" t="s">
        <v>11639</v>
      </c>
      <c r="PWP14" s="137" t="s">
        <v>11640</v>
      </c>
      <c r="PWQ14" s="137" t="s">
        <v>11641</v>
      </c>
      <c r="PWR14" s="137" t="s">
        <v>11642</v>
      </c>
      <c r="PWS14" s="137" t="s">
        <v>11643</v>
      </c>
      <c r="PWT14" s="137" t="s">
        <v>11644</v>
      </c>
      <c r="PWU14" s="137" t="s">
        <v>11645</v>
      </c>
      <c r="PWV14" s="137" t="s">
        <v>11646</v>
      </c>
      <c r="PWW14" s="137" t="s">
        <v>11647</v>
      </c>
      <c r="PWX14" s="137" t="s">
        <v>11648</v>
      </c>
      <c r="PWY14" s="137" t="s">
        <v>11649</v>
      </c>
      <c r="PWZ14" s="137" t="s">
        <v>11650</v>
      </c>
      <c r="PXA14" s="137" t="s">
        <v>11651</v>
      </c>
      <c r="PXB14" s="137" t="s">
        <v>11652</v>
      </c>
      <c r="PXC14" s="137" t="s">
        <v>11653</v>
      </c>
      <c r="PXD14" s="137" t="s">
        <v>11654</v>
      </c>
      <c r="PXE14" s="137" t="s">
        <v>11655</v>
      </c>
      <c r="PXF14" s="137" t="s">
        <v>11656</v>
      </c>
      <c r="PXG14" s="137" t="s">
        <v>11657</v>
      </c>
      <c r="PXH14" s="137" t="s">
        <v>11658</v>
      </c>
      <c r="PXI14" s="137" t="s">
        <v>11659</v>
      </c>
      <c r="PXJ14" s="137" t="s">
        <v>11660</v>
      </c>
      <c r="PXK14" s="137" t="s">
        <v>11661</v>
      </c>
      <c r="PXL14" s="137" t="s">
        <v>11662</v>
      </c>
      <c r="PXM14" s="137" t="s">
        <v>11663</v>
      </c>
      <c r="PXN14" s="137" t="s">
        <v>11664</v>
      </c>
      <c r="PXO14" s="137" t="s">
        <v>11665</v>
      </c>
      <c r="PXP14" s="137" t="s">
        <v>11666</v>
      </c>
      <c r="PXQ14" s="137" t="s">
        <v>11667</v>
      </c>
      <c r="PXR14" s="137" t="s">
        <v>11668</v>
      </c>
      <c r="PXS14" s="137" t="s">
        <v>11669</v>
      </c>
      <c r="PXT14" s="137" t="s">
        <v>11670</v>
      </c>
      <c r="PXU14" s="137" t="s">
        <v>11671</v>
      </c>
      <c r="PXV14" s="137" t="s">
        <v>11672</v>
      </c>
      <c r="PXW14" s="137" t="s">
        <v>11673</v>
      </c>
      <c r="PXX14" s="137" t="s">
        <v>11674</v>
      </c>
      <c r="PXY14" s="137" t="s">
        <v>11675</v>
      </c>
      <c r="PXZ14" s="137" t="s">
        <v>11676</v>
      </c>
      <c r="PYA14" s="137" t="s">
        <v>11677</v>
      </c>
      <c r="PYB14" s="137" t="s">
        <v>11678</v>
      </c>
      <c r="PYC14" s="137" t="s">
        <v>11679</v>
      </c>
      <c r="PYD14" s="137" t="s">
        <v>11680</v>
      </c>
      <c r="PYE14" s="137" t="s">
        <v>11681</v>
      </c>
      <c r="PYF14" s="137" t="s">
        <v>11682</v>
      </c>
      <c r="PYG14" s="137" t="s">
        <v>11683</v>
      </c>
      <c r="PYH14" s="137" t="s">
        <v>11684</v>
      </c>
      <c r="PYI14" s="137" t="s">
        <v>11685</v>
      </c>
      <c r="PYJ14" s="137" t="s">
        <v>11686</v>
      </c>
      <c r="PYK14" s="137" t="s">
        <v>11687</v>
      </c>
      <c r="PYL14" s="137" t="s">
        <v>11688</v>
      </c>
      <c r="PYM14" s="137" t="s">
        <v>11689</v>
      </c>
      <c r="PYN14" s="137" t="s">
        <v>11690</v>
      </c>
      <c r="PYO14" s="137" t="s">
        <v>11691</v>
      </c>
      <c r="PYP14" s="137" t="s">
        <v>11692</v>
      </c>
      <c r="PYQ14" s="137" t="s">
        <v>11693</v>
      </c>
      <c r="PYR14" s="137" t="s">
        <v>11694</v>
      </c>
      <c r="PYS14" s="137" t="s">
        <v>11695</v>
      </c>
      <c r="PYT14" s="137" t="s">
        <v>11696</v>
      </c>
      <c r="PYU14" s="137" t="s">
        <v>11697</v>
      </c>
      <c r="PYV14" s="137" t="s">
        <v>11698</v>
      </c>
      <c r="PYW14" s="137" t="s">
        <v>11699</v>
      </c>
      <c r="PYX14" s="137" t="s">
        <v>11700</v>
      </c>
      <c r="PYY14" s="137" t="s">
        <v>11701</v>
      </c>
      <c r="PYZ14" s="137" t="s">
        <v>11702</v>
      </c>
      <c r="PZA14" s="137" t="s">
        <v>11703</v>
      </c>
      <c r="PZB14" s="137" t="s">
        <v>11704</v>
      </c>
      <c r="PZC14" s="137" t="s">
        <v>11705</v>
      </c>
      <c r="PZD14" s="137" t="s">
        <v>11706</v>
      </c>
      <c r="PZE14" s="137" t="s">
        <v>11707</v>
      </c>
      <c r="PZF14" s="137" t="s">
        <v>11708</v>
      </c>
      <c r="PZG14" s="137" t="s">
        <v>11709</v>
      </c>
      <c r="PZH14" s="137" t="s">
        <v>11710</v>
      </c>
      <c r="PZI14" s="137" t="s">
        <v>11711</v>
      </c>
      <c r="PZJ14" s="137" t="s">
        <v>11712</v>
      </c>
      <c r="PZK14" s="137" t="s">
        <v>11713</v>
      </c>
      <c r="PZL14" s="137" t="s">
        <v>11714</v>
      </c>
      <c r="PZM14" s="137" t="s">
        <v>11715</v>
      </c>
      <c r="PZN14" s="137" t="s">
        <v>11716</v>
      </c>
      <c r="PZO14" s="137" t="s">
        <v>11717</v>
      </c>
      <c r="PZP14" s="137" t="s">
        <v>11718</v>
      </c>
      <c r="PZQ14" s="137" t="s">
        <v>11719</v>
      </c>
      <c r="PZR14" s="137" t="s">
        <v>11720</v>
      </c>
      <c r="PZS14" s="137" t="s">
        <v>11721</v>
      </c>
      <c r="PZT14" s="137" t="s">
        <v>11722</v>
      </c>
      <c r="PZU14" s="137" t="s">
        <v>11723</v>
      </c>
      <c r="PZV14" s="137" t="s">
        <v>11724</v>
      </c>
      <c r="PZW14" s="137" t="s">
        <v>11725</v>
      </c>
      <c r="PZX14" s="137" t="s">
        <v>11726</v>
      </c>
      <c r="PZY14" s="137" t="s">
        <v>11727</v>
      </c>
      <c r="PZZ14" s="137" t="s">
        <v>11728</v>
      </c>
      <c r="QAA14" s="137" t="s">
        <v>11729</v>
      </c>
      <c r="QAB14" s="137" t="s">
        <v>11730</v>
      </c>
      <c r="QAC14" s="137" t="s">
        <v>11731</v>
      </c>
      <c r="QAD14" s="137" t="s">
        <v>11732</v>
      </c>
      <c r="QAE14" s="137" t="s">
        <v>11733</v>
      </c>
      <c r="QAF14" s="137" t="s">
        <v>11734</v>
      </c>
      <c r="QAG14" s="137" t="s">
        <v>11735</v>
      </c>
      <c r="QAH14" s="137" t="s">
        <v>11736</v>
      </c>
      <c r="QAI14" s="137" t="s">
        <v>11737</v>
      </c>
      <c r="QAJ14" s="137" t="s">
        <v>11738</v>
      </c>
      <c r="QAK14" s="137" t="s">
        <v>11739</v>
      </c>
      <c r="QAL14" s="137" t="s">
        <v>11740</v>
      </c>
      <c r="QAM14" s="137" t="s">
        <v>11741</v>
      </c>
      <c r="QAN14" s="137" t="s">
        <v>11742</v>
      </c>
      <c r="QAO14" s="137" t="s">
        <v>11743</v>
      </c>
      <c r="QAP14" s="137" t="s">
        <v>11744</v>
      </c>
      <c r="QAQ14" s="137" t="s">
        <v>11745</v>
      </c>
      <c r="QAR14" s="137" t="s">
        <v>11746</v>
      </c>
      <c r="QAS14" s="137" t="s">
        <v>11747</v>
      </c>
      <c r="QAT14" s="137" t="s">
        <v>11748</v>
      </c>
      <c r="QAU14" s="137" t="s">
        <v>11749</v>
      </c>
      <c r="QAV14" s="137" t="s">
        <v>11750</v>
      </c>
      <c r="QAW14" s="137" t="s">
        <v>11751</v>
      </c>
      <c r="QAX14" s="137" t="s">
        <v>11752</v>
      </c>
      <c r="QAY14" s="137" t="s">
        <v>11753</v>
      </c>
      <c r="QAZ14" s="137" t="s">
        <v>11754</v>
      </c>
      <c r="QBA14" s="137" t="s">
        <v>11755</v>
      </c>
      <c r="QBB14" s="137" t="s">
        <v>11756</v>
      </c>
      <c r="QBC14" s="137" t="s">
        <v>11757</v>
      </c>
      <c r="QBD14" s="137" t="s">
        <v>11758</v>
      </c>
      <c r="QBE14" s="137" t="s">
        <v>11759</v>
      </c>
      <c r="QBF14" s="137" t="s">
        <v>11760</v>
      </c>
      <c r="QBG14" s="137" t="s">
        <v>11761</v>
      </c>
      <c r="QBH14" s="137" t="s">
        <v>11762</v>
      </c>
      <c r="QBI14" s="137" t="s">
        <v>11763</v>
      </c>
      <c r="QBJ14" s="137" t="s">
        <v>11764</v>
      </c>
      <c r="QBK14" s="137" t="s">
        <v>11765</v>
      </c>
      <c r="QBL14" s="137" t="s">
        <v>11766</v>
      </c>
      <c r="QBM14" s="137" t="s">
        <v>11767</v>
      </c>
      <c r="QBN14" s="137" t="s">
        <v>11768</v>
      </c>
      <c r="QBO14" s="137" t="s">
        <v>11769</v>
      </c>
      <c r="QBP14" s="137" t="s">
        <v>11770</v>
      </c>
      <c r="QBQ14" s="137" t="s">
        <v>11771</v>
      </c>
      <c r="QBR14" s="137" t="s">
        <v>11772</v>
      </c>
      <c r="QBS14" s="137" t="s">
        <v>11773</v>
      </c>
      <c r="QBT14" s="137" t="s">
        <v>11774</v>
      </c>
      <c r="QBU14" s="137" t="s">
        <v>11775</v>
      </c>
      <c r="QBV14" s="137" t="s">
        <v>11776</v>
      </c>
      <c r="QBW14" s="137" t="s">
        <v>11777</v>
      </c>
      <c r="QBX14" s="137" t="s">
        <v>11778</v>
      </c>
      <c r="QBY14" s="137" t="s">
        <v>11779</v>
      </c>
      <c r="QBZ14" s="137" t="s">
        <v>11780</v>
      </c>
      <c r="QCA14" s="137" t="s">
        <v>11781</v>
      </c>
      <c r="QCB14" s="137" t="s">
        <v>11782</v>
      </c>
      <c r="QCC14" s="137" t="s">
        <v>11783</v>
      </c>
      <c r="QCD14" s="137" t="s">
        <v>11784</v>
      </c>
      <c r="QCE14" s="137" t="s">
        <v>11785</v>
      </c>
      <c r="QCF14" s="137" t="s">
        <v>11786</v>
      </c>
      <c r="QCG14" s="137" t="s">
        <v>11787</v>
      </c>
      <c r="QCH14" s="137" t="s">
        <v>11788</v>
      </c>
      <c r="QCI14" s="137" t="s">
        <v>11789</v>
      </c>
      <c r="QCJ14" s="137" t="s">
        <v>11790</v>
      </c>
      <c r="QCK14" s="137" t="s">
        <v>11791</v>
      </c>
      <c r="QCL14" s="137" t="s">
        <v>11792</v>
      </c>
      <c r="QCM14" s="137" t="s">
        <v>11793</v>
      </c>
      <c r="QCN14" s="137" t="s">
        <v>11794</v>
      </c>
      <c r="QCO14" s="137" t="s">
        <v>11795</v>
      </c>
      <c r="QCP14" s="137" t="s">
        <v>11796</v>
      </c>
      <c r="QCQ14" s="137" t="s">
        <v>11797</v>
      </c>
      <c r="QCR14" s="137" t="s">
        <v>11798</v>
      </c>
      <c r="QCS14" s="137" t="s">
        <v>11799</v>
      </c>
      <c r="QCT14" s="137" t="s">
        <v>11800</v>
      </c>
      <c r="QCU14" s="137" t="s">
        <v>11801</v>
      </c>
      <c r="QCV14" s="137" t="s">
        <v>11802</v>
      </c>
      <c r="QCW14" s="137" t="s">
        <v>11803</v>
      </c>
      <c r="QCX14" s="137" t="s">
        <v>11804</v>
      </c>
      <c r="QCY14" s="137" t="s">
        <v>11805</v>
      </c>
      <c r="QCZ14" s="137" t="s">
        <v>11806</v>
      </c>
      <c r="QDA14" s="137" t="s">
        <v>11807</v>
      </c>
      <c r="QDB14" s="137" t="s">
        <v>11808</v>
      </c>
      <c r="QDC14" s="137" t="s">
        <v>11809</v>
      </c>
      <c r="QDD14" s="137" t="s">
        <v>11810</v>
      </c>
      <c r="QDE14" s="137" t="s">
        <v>11811</v>
      </c>
      <c r="QDF14" s="137" t="s">
        <v>11812</v>
      </c>
      <c r="QDG14" s="137" t="s">
        <v>11813</v>
      </c>
      <c r="QDH14" s="137" t="s">
        <v>11814</v>
      </c>
      <c r="QDI14" s="137" t="s">
        <v>11815</v>
      </c>
      <c r="QDJ14" s="137" t="s">
        <v>11816</v>
      </c>
      <c r="QDK14" s="137" t="s">
        <v>11817</v>
      </c>
      <c r="QDL14" s="137" t="s">
        <v>11818</v>
      </c>
      <c r="QDM14" s="137" t="s">
        <v>11819</v>
      </c>
      <c r="QDN14" s="137" t="s">
        <v>11820</v>
      </c>
      <c r="QDO14" s="137" t="s">
        <v>11821</v>
      </c>
      <c r="QDP14" s="137" t="s">
        <v>11822</v>
      </c>
      <c r="QDQ14" s="137" t="s">
        <v>11823</v>
      </c>
      <c r="QDR14" s="137" t="s">
        <v>11824</v>
      </c>
      <c r="QDS14" s="137" t="s">
        <v>11825</v>
      </c>
      <c r="QDT14" s="137" t="s">
        <v>11826</v>
      </c>
      <c r="QDU14" s="137" t="s">
        <v>11827</v>
      </c>
      <c r="QDV14" s="137" t="s">
        <v>11828</v>
      </c>
      <c r="QDW14" s="137" t="s">
        <v>11829</v>
      </c>
      <c r="QDX14" s="137" t="s">
        <v>11830</v>
      </c>
      <c r="QDY14" s="137" t="s">
        <v>11831</v>
      </c>
      <c r="QDZ14" s="137" t="s">
        <v>11832</v>
      </c>
      <c r="QEA14" s="137" t="s">
        <v>11833</v>
      </c>
      <c r="QEB14" s="137" t="s">
        <v>11834</v>
      </c>
      <c r="QEC14" s="137" t="s">
        <v>11835</v>
      </c>
      <c r="QED14" s="137" t="s">
        <v>11836</v>
      </c>
      <c r="QEE14" s="137" t="s">
        <v>11837</v>
      </c>
      <c r="QEF14" s="137" t="s">
        <v>11838</v>
      </c>
      <c r="QEG14" s="137" t="s">
        <v>11839</v>
      </c>
      <c r="QEH14" s="137" t="s">
        <v>11840</v>
      </c>
      <c r="QEI14" s="137" t="s">
        <v>11841</v>
      </c>
      <c r="QEJ14" s="137" t="s">
        <v>11842</v>
      </c>
      <c r="QEK14" s="137" t="s">
        <v>11843</v>
      </c>
      <c r="QEL14" s="137" t="s">
        <v>11844</v>
      </c>
      <c r="QEM14" s="137" t="s">
        <v>11845</v>
      </c>
      <c r="QEN14" s="137" t="s">
        <v>11846</v>
      </c>
      <c r="QEO14" s="137" t="s">
        <v>11847</v>
      </c>
      <c r="QEP14" s="137" t="s">
        <v>11848</v>
      </c>
      <c r="QEQ14" s="137" t="s">
        <v>11849</v>
      </c>
      <c r="QER14" s="137" t="s">
        <v>11850</v>
      </c>
      <c r="QES14" s="137" t="s">
        <v>11851</v>
      </c>
      <c r="QET14" s="137" t="s">
        <v>11852</v>
      </c>
      <c r="QEU14" s="137" t="s">
        <v>11853</v>
      </c>
      <c r="QEV14" s="137" t="s">
        <v>11854</v>
      </c>
      <c r="QEW14" s="137" t="s">
        <v>11855</v>
      </c>
      <c r="QEX14" s="137" t="s">
        <v>11856</v>
      </c>
      <c r="QEY14" s="137" t="s">
        <v>11857</v>
      </c>
      <c r="QEZ14" s="137" t="s">
        <v>11858</v>
      </c>
      <c r="QFA14" s="137" t="s">
        <v>11859</v>
      </c>
      <c r="QFB14" s="137" t="s">
        <v>11860</v>
      </c>
      <c r="QFC14" s="137" t="s">
        <v>11861</v>
      </c>
      <c r="QFD14" s="137" t="s">
        <v>11862</v>
      </c>
      <c r="QFE14" s="137" t="s">
        <v>11863</v>
      </c>
      <c r="QFF14" s="137" t="s">
        <v>11864</v>
      </c>
      <c r="QFG14" s="137" t="s">
        <v>11865</v>
      </c>
      <c r="QFH14" s="137" t="s">
        <v>11866</v>
      </c>
      <c r="QFI14" s="137" t="s">
        <v>11867</v>
      </c>
      <c r="QFJ14" s="137" t="s">
        <v>11868</v>
      </c>
      <c r="QFK14" s="137" t="s">
        <v>11869</v>
      </c>
      <c r="QFL14" s="137" t="s">
        <v>11870</v>
      </c>
      <c r="QFM14" s="137" t="s">
        <v>11871</v>
      </c>
      <c r="QFN14" s="137" t="s">
        <v>11872</v>
      </c>
      <c r="QFO14" s="137" t="s">
        <v>11873</v>
      </c>
      <c r="QFP14" s="137" t="s">
        <v>11874</v>
      </c>
      <c r="QFQ14" s="137" t="s">
        <v>11875</v>
      </c>
      <c r="QFR14" s="137" t="s">
        <v>11876</v>
      </c>
      <c r="QFS14" s="137" t="s">
        <v>11877</v>
      </c>
      <c r="QFT14" s="137" t="s">
        <v>11878</v>
      </c>
      <c r="QFU14" s="137" t="s">
        <v>11879</v>
      </c>
      <c r="QFV14" s="137" t="s">
        <v>11880</v>
      </c>
      <c r="QFW14" s="137" t="s">
        <v>11881</v>
      </c>
      <c r="QFX14" s="137" t="s">
        <v>11882</v>
      </c>
      <c r="QFY14" s="137" t="s">
        <v>11883</v>
      </c>
      <c r="QFZ14" s="137" t="s">
        <v>11884</v>
      </c>
      <c r="QGA14" s="137" t="s">
        <v>11885</v>
      </c>
      <c r="QGB14" s="137" t="s">
        <v>11886</v>
      </c>
      <c r="QGC14" s="137" t="s">
        <v>11887</v>
      </c>
      <c r="QGD14" s="137" t="s">
        <v>11888</v>
      </c>
      <c r="QGE14" s="137" t="s">
        <v>11889</v>
      </c>
      <c r="QGF14" s="137" t="s">
        <v>11890</v>
      </c>
      <c r="QGG14" s="137" t="s">
        <v>11891</v>
      </c>
      <c r="QGH14" s="137" t="s">
        <v>11892</v>
      </c>
      <c r="QGI14" s="137" t="s">
        <v>11893</v>
      </c>
      <c r="QGJ14" s="137" t="s">
        <v>11894</v>
      </c>
      <c r="QGK14" s="137" t="s">
        <v>11895</v>
      </c>
      <c r="QGL14" s="137" t="s">
        <v>11896</v>
      </c>
      <c r="QGM14" s="137" t="s">
        <v>11897</v>
      </c>
      <c r="QGN14" s="137" t="s">
        <v>11898</v>
      </c>
      <c r="QGO14" s="137" t="s">
        <v>11899</v>
      </c>
      <c r="QGP14" s="137" t="s">
        <v>11900</v>
      </c>
      <c r="QGQ14" s="137" t="s">
        <v>11901</v>
      </c>
      <c r="QGR14" s="137" t="s">
        <v>11902</v>
      </c>
      <c r="QGS14" s="137" t="s">
        <v>11903</v>
      </c>
      <c r="QGT14" s="137" t="s">
        <v>11904</v>
      </c>
      <c r="QGU14" s="137" t="s">
        <v>11905</v>
      </c>
      <c r="QGV14" s="137" t="s">
        <v>11906</v>
      </c>
      <c r="QGW14" s="137" t="s">
        <v>11907</v>
      </c>
      <c r="QGX14" s="137" t="s">
        <v>11908</v>
      </c>
      <c r="QGY14" s="137" t="s">
        <v>11909</v>
      </c>
      <c r="QGZ14" s="137" t="s">
        <v>11910</v>
      </c>
      <c r="QHA14" s="137" t="s">
        <v>11911</v>
      </c>
      <c r="QHB14" s="137" t="s">
        <v>11912</v>
      </c>
      <c r="QHC14" s="137" t="s">
        <v>11913</v>
      </c>
      <c r="QHD14" s="137" t="s">
        <v>11914</v>
      </c>
      <c r="QHE14" s="137" t="s">
        <v>11915</v>
      </c>
      <c r="QHF14" s="137" t="s">
        <v>11916</v>
      </c>
      <c r="QHG14" s="137" t="s">
        <v>11917</v>
      </c>
      <c r="QHH14" s="137" t="s">
        <v>11918</v>
      </c>
      <c r="QHI14" s="137" t="s">
        <v>11919</v>
      </c>
      <c r="QHJ14" s="137" t="s">
        <v>11920</v>
      </c>
      <c r="QHK14" s="137" t="s">
        <v>11921</v>
      </c>
      <c r="QHL14" s="137" t="s">
        <v>11922</v>
      </c>
      <c r="QHM14" s="137" t="s">
        <v>11923</v>
      </c>
      <c r="QHN14" s="137" t="s">
        <v>11924</v>
      </c>
      <c r="QHO14" s="137" t="s">
        <v>11925</v>
      </c>
      <c r="QHP14" s="137" t="s">
        <v>11926</v>
      </c>
      <c r="QHQ14" s="137" t="s">
        <v>11927</v>
      </c>
      <c r="QHR14" s="137" t="s">
        <v>11928</v>
      </c>
      <c r="QHS14" s="137" t="s">
        <v>11929</v>
      </c>
      <c r="QHT14" s="137" t="s">
        <v>11930</v>
      </c>
      <c r="QHU14" s="137" t="s">
        <v>11931</v>
      </c>
      <c r="QHV14" s="137" t="s">
        <v>11932</v>
      </c>
      <c r="QHW14" s="137" t="s">
        <v>11933</v>
      </c>
      <c r="QHX14" s="137" t="s">
        <v>11934</v>
      </c>
      <c r="QHY14" s="137" t="s">
        <v>11935</v>
      </c>
      <c r="QHZ14" s="137" t="s">
        <v>11936</v>
      </c>
      <c r="QIA14" s="137" t="s">
        <v>11937</v>
      </c>
      <c r="QIB14" s="137" t="s">
        <v>11938</v>
      </c>
      <c r="QIC14" s="137" t="s">
        <v>11939</v>
      </c>
      <c r="QID14" s="137" t="s">
        <v>11940</v>
      </c>
      <c r="QIE14" s="137" t="s">
        <v>11941</v>
      </c>
      <c r="QIF14" s="137" t="s">
        <v>11942</v>
      </c>
      <c r="QIG14" s="137" t="s">
        <v>11943</v>
      </c>
      <c r="QIH14" s="137" t="s">
        <v>11944</v>
      </c>
      <c r="QII14" s="137" t="s">
        <v>11945</v>
      </c>
      <c r="QIJ14" s="137" t="s">
        <v>11946</v>
      </c>
      <c r="QIK14" s="137" t="s">
        <v>11947</v>
      </c>
      <c r="QIL14" s="137" t="s">
        <v>11948</v>
      </c>
      <c r="QIM14" s="137" t="s">
        <v>11949</v>
      </c>
      <c r="QIN14" s="137" t="s">
        <v>11950</v>
      </c>
      <c r="QIO14" s="137" t="s">
        <v>11951</v>
      </c>
      <c r="QIP14" s="137" t="s">
        <v>11952</v>
      </c>
      <c r="QIQ14" s="137" t="s">
        <v>11953</v>
      </c>
      <c r="QIR14" s="137" t="s">
        <v>11954</v>
      </c>
      <c r="QIS14" s="137" t="s">
        <v>11955</v>
      </c>
      <c r="QIT14" s="137" t="s">
        <v>11956</v>
      </c>
      <c r="QIU14" s="137" t="s">
        <v>11957</v>
      </c>
      <c r="QIV14" s="137" t="s">
        <v>11958</v>
      </c>
      <c r="QIW14" s="137" t="s">
        <v>11959</v>
      </c>
      <c r="QIX14" s="137" t="s">
        <v>11960</v>
      </c>
      <c r="QIY14" s="137" t="s">
        <v>11961</v>
      </c>
      <c r="QIZ14" s="137" t="s">
        <v>11962</v>
      </c>
      <c r="QJA14" s="137" t="s">
        <v>11963</v>
      </c>
      <c r="QJB14" s="137" t="s">
        <v>11964</v>
      </c>
      <c r="QJC14" s="137" t="s">
        <v>11965</v>
      </c>
      <c r="QJD14" s="137" t="s">
        <v>11966</v>
      </c>
      <c r="QJE14" s="137" t="s">
        <v>11967</v>
      </c>
      <c r="QJF14" s="137" t="s">
        <v>11968</v>
      </c>
      <c r="QJG14" s="137" t="s">
        <v>11969</v>
      </c>
      <c r="QJH14" s="137" t="s">
        <v>11970</v>
      </c>
      <c r="QJI14" s="137" t="s">
        <v>11971</v>
      </c>
      <c r="QJJ14" s="137" t="s">
        <v>11972</v>
      </c>
      <c r="QJK14" s="137" t="s">
        <v>11973</v>
      </c>
      <c r="QJL14" s="137" t="s">
        <v>11974</v>
      </c>
      <c r="QJM14" s="137" t="s">
        <v>11975</v>
      </c>
      <c r="QJN14" s="137" t="s">
        <v>11976</v>
      </c>
      <c r="QJO14" s="137" t="s">
        <v>11977</v>
      </c>
      <c r="QJP14" s="137" t="s">
        <v>11978</v>
      </c>
      <c r="QJQ14" s="137" t="s">
        <v>11979</v>
      </c>
      <c r="QJR14" s="137" t="s">
        <v>11980</v>
      </c>
      <c r="QJS14" s="137" t="s">
        <v>11981</v>
      </c>
      <c r="QJT14" s="137" t="s">
        <v>11982</v>
      </c>
      <c r="QJU14" s="137" t="s">
        <v>11983</v>
      </c>
      <c r="QJV14" s="137" t="s">
        <v>11984</v>
      </c>
      <c r="QJW14" s="137" t="s">
        <v>11985</v>
      </c>
      <c r="QJX14" s="137" t="s">
        <v>11986</v>
      </c>
      <c r="QJY14" s="137" t="s">
        <v>11987</v>
      </c>
      <c r="QJZ14" s="137" t="s">
        <v>11988</v>
      </c>
      <c r="QKA14" s="137" t="s">
        <v>11989</v>
      </c>
      <c r="QKB14" s="137" t="s">
        <v>11990</v>
      </c>
      <c r="QKC14" s="137" t="s">
        <v>11991</v>
      </c>
      <c r="QKD14" s="137" t="s">
        <v>11992</v>
      </c>
      <c r="QKE14" s="137" t="s">
        <v>11993</v>
      </c>
      <c r="QKF14" s="137" t="s">
        <v>11994</v>
      </c>
      <c r="QKG14" s="137" t="s">
        <v>11995</v>
      </c>
      <c r="QKH14" s="137" t="s">
        <v>11996</v>
      </c>
      <c r="QKI14" s="137" t="s">
        <v>11997</v>
      </c>
      <c r="QKJ14" s="137" t="s">
        <v>11998</v>
      </c>
      <c r="QKK14" s="137" t="s">
        <v>11999</v>
      </c>
      <c r="QKL14" s="137" t="s">
        <v>12000</v>
      </c>
      <c r="QKM14" s="137" t="s">
        <v>12001</v>
      </c>
      <c r="QKN14" s="137" t="s">
        <v>12002</v>
      </c>
      <c r="QKO14" s="137" t="s">
        <v>12003</v>
      </c>
      <c r="QKP14" s="137" t="s">
        <v>12004</v>
      </c>
      <c r="QKQ14" s="137" t="s">
        <v>12005</v>
      </c>
      <c r="QKR14" s="137" t="s">
        <v>12006</v>
      </c>
      <c r="QKS14" s="137" t="s">
        <v>12007</v>
      </c>
      <c r="QKT14" s="137" t="s">
        <v>12008</v>
      </c>
      <c r="QKU14" s="137" t="s">
        <v>12009</v>
      </c>
      <c r="QKV14" s="137" t="s">
        <v>12010</v>
      </c>
      <c r="QKW14" s="137" t="s">
        <v>12011</v>
      </c>
      <c r="QKX14" s="137" t="s">
        <v>12012</v>
      </c>
      <c r="QKY14" s="137" t="s">
        <v>12013</v>
      </c>
      <c r="QKZ14" s="137" t="s">
        <v>12014</v>
      </c>
      <c r="QLA14" s="137" t="s">
        <v>12015</v>
      </c>
      <c r="QLB14" s="137" t="s">
        <v>12016</v>
      </c>
      <c r="QLC14" s="137" t="s">
        <v>12017</v>
      </c>
      <c r="QLD14" s="137" t="s">
        <v>12018</v>
      </c>
      <c r="QLE14" s="137" t="s">
        <v>12019</v>
      </c>
      <c r="QLF14" s="137" t="s">
        <v>12020</v>
      </c>
      <c r="QLG14" s="137" t="s">
        <v>12021</v>
      </c>
      <c r="QLH14" s="137" t="s">
        <v>12022</v>
      </c>
      <c r="QLI14" s="137" t="s">
        <v>12023</v>
      </c>
      <c r="QLJ14" s="137" t="s">
        <v>12024</v>
      </c>
      <c r="QLK14" s="137" t="s">
        <v>12025</v>
      </c>
      <c r="QLL14" s="137" t="s">
        <v>12026</v>
      </c>
      <c r="QLM14" s="137" t="s">
        <v>12027</v>
      </c>
      <c r="QLN14" s="137" t="s">
        <v>12028</v>
      </c>
      <c r="QLO14" s="137" t="s">
        <v>12029</v>
      </c>
      <c r="QLP14" s="137" t="s">
        <v>12030</v>
      </c>
      <c r="QLQ14" s="137" t="s">
        <v>12031</v>
      </c>
      <c r="QLR14" s="137" t="s">
        <v>12032</v>
      </c>
      <c r="QLS14" s="137" t="s">
        <v>12033</v>
      </c>
      <c r="QLT14" s="137" t="s">
        <v>12034</v>
      </c>
      <c r="QLU14" s="137" t="s">
        <v>12035</v>
      </c>
      <c r="QLV14" s="137" t="s">
        <v>12036</v>
      </c>
      <c r="QLW14" s="137" t="s">
        <v>12037</v>
      </c>
      <c r="QLX14" s="137" t="s">
        <v>12038</v>
      </c>
      <c r="QLY14" s="137" t="s">
        <v>12039</v>
      </c>
      <c r="QLZ14" s="137" t="s">
        <v>12040</v>
      </c>
      <c r="QMA14" s="137" t="s">
        <v>12041</v>
      </c>
      <c r="QMB14" s="137" t="s">
        <v>12042</v>
      </c>
      <c r="QMC14" s="137" t="s">
        <v>12043</v>
      </c>
      <c r="QMD14" s="137" t="s">
        <v>12044</v>
      </c>
      <c r="QME14" s="137" t="s">
        <v>12045</v>
      </c>
      <c r="QMF14" s="137" t="s">
        <v>12046</v>
      </c>
      <c r="QMG14" s="137" t="s">
        <v>12047</v>
      </c>
      <c r="QMH14" s="137" t="s">
        <v>12048</v>
      </c>
      <c r="QMI14" s="137" t="s">
        <v>12049</v>
      </c>
      <c r="QMJ14" s="137" t="s">
        <v>12050</v>
      </c>
      <c r="QMK14" s="137" t="s">
        <v>12051</v>
      </c>
      <c r="QML14" s="137" t="s">
        <v>12052</v>
      </c>
      <c r="QMM14" s="137" t="s">
        <v>12053</v>
      </c>
      <c r="QMN14" s="137" t="s">
        <v>12054</v>
      </c>
      <c r="QMO14" s="137" t="s">
        <v>12055</v>
      </c>
      <c r="QMP14" s="137" t="s">
        <v>12056</v>
      </c>
      <c r="QMQ14" s="137" t="s">
        <v>12057</v>
      </c>
      <c r="QMR14" s="137" t="s">
        <v>12058</v>
      </c>
      <c r="QMS14" s="137" t="s">
        <v>12059</v>
      </c>
      <c r="QMT14" s="137" t="s">
        <v>12060</v>
      </c>
      <c r="QMU14" s="137" t="s">
        <v>12061</v>
      </c>
      <c r="QMV14" s="137" t="s">
        <v>12062</v>
      </c>
      <c r="QMW14" s="137" t="s">
        <v>12063</v>
      </c>
      <c r="QMX14" s="137" t="s">
        <v>12064</v>
      </c>
      <c r="QMY14" s="137" t="s">
        <v>12065</v>
      </c>
      <c r="QMZ14" s="137" t="s">
        <v>12066</v>
      </c>
      <c r="QNA14" s="137" t="s">
        <v>12067</v>
      </c>
      <c r="QNB14" s="137" t="s">
        <v>12068</v>
      </c>
      <c r="QNC14" s="137" t="s">
        <v>12069</v>
      </c>
      <c r="QND14" s="137" t="s">
        <v>12070</v>
      </c>
      <c r="QNE14" s="137" t="s">
        <v>12071</v>
      </c>
      <c r="QNF14" s="137" t="s">
        <v>12072</v>
      </c>
      <c r="QNG14" s="137" t="s">
        <v>12073</v>
      </c>
      <c r="QNH14" s="137" t="s">
        <v>12074</v>
      </c>
      <c r="QNI14" s="137" t="s">
        <v>12075</v>
      </c>
      <c r="QNJ14" s="137" t="s">
        <v>12076</v>
      </c>
      <c r="QNK14" s="137" t="s">
        <v>12077</v>
      </c>
      <c r="QNL14" s="137" t="s">
        <v>12078</v>
      </c>
      <c r="QNM14" s="137" t="s">
        <v>12079</v>
      </c>
      <c r="QNN14" s="137" t="s">
        <v>12080</v>
      </c>
      <c r="QNO14" s="137" t="s">
        <v>12081</v>
      </c>
      <c r="QNP14" s="137" t="s">
        <v>12082</v>
      </c>
      <c r="QNQ14" s="137" t="s">
        <v>12083</v>
      </c>
      <c r="QNR14" s="137" t="s">
        <v>12084</v>
      </c>
      <c r="QNS14" s="137" t="s">
        <v>12085</v>
      </c>
      <c r="QNT14" s="137" t="s">
        <v>12086</v>
      </c>
      <c r="QNU14" s="137" t="s">
        <v>12087</v>
      </c>
      <c r="QNV14" s="137" t="s">
        <v>12088</v>
      </c>
      <c r="QNW14" s="137" t="s">
        <v>12089</v>
      </c>
      <c r="QNX14" s="137" t="s">
        <v>12090</v>
      </c>
      <c r="QNY14" s="137" t="s">
        <v>12091</v>
      </c>
      <c r="QNZ14" s="137" t="s">
        <v>12092</v>
      </c>
      <c r="QOA14" s="137" t="s">
        <v>12093</v>
      </c>
      <c r="QOB14" s="137" t="s">
        <v>12094</v>
      </c>
      <c r="QOC14" s="137" t="s">
        <v>12095</v>
      </c>
      <c r="QOD14" s="137" t="s">
        <v>12096</v>
      </c>
      <c r="QOE14" s="137" t="s">
        <v>12097</v>
      </c>
      <c r="QOF14" s="137" t="s">
        <v>12098</v>
      </c>
      <c r="QOG14" s="137" t="s">
        <v>12099</v>
      </c>
      <c r="QOH14" s="137" t="s">
        <v>12100</v>
      </c>
      <c r="QOI14" s="137" t="s">
        <v>12101</v>
      </c>
      <c r="QOJ14" s="137" t="s">
        <v>12102</v>
      </c>
      <c r="QOK14" s="137" t="s">
        <v>12103</v>
      </c>
      <c r="QOL14" s="137" t="s">
        <v>12104</v>
      </c>
      <c r="QOM14" s="137" t="s">
        <v>12105</v>
      </c>
      <c r="QON14" s="137" t="s">
        <v>12106</v>
      </c>
      <c r="QOO14" s="137" t="s">
        <v>12107</v>
      </c>
      <c r="QOP14" s="137" t="s">
        <v>12108</v>
      </c>
      <c r="QOQ14" s="137" t="s">
        <v>12109</v>
      </c>
      <c r="QOR14" s="137" t="s">
        <v>12110</v>
      </c>
      <c r="QOS14" s="137" t="s">
        <v>12111</v>
      </c>
      <c r="QOT14" s="137" t="s">
        <v>12112</v>
      </c>
      <c r="QOU14" s="137" t="s">
        <v>12113</v>
      </c>
      <c r="QOV14" s="137" t="s">
        <v>12114</v>
      </c>
      <c r="QOW14" s="137" t="s">
        <v>12115</v>
      </c>
      <c r="QOX14" s="137" t="s">
        <v>12116</v>
      </c>
      <c r="QOY14" s="137" t="s">
        <v>12117</v>
      </c>
      <c r="QOZ14" s="137" t="s">
        <v>12118</v>
      </c>
      <c r="QPA14" s="137" t="s">
        <v>12119</v>
      </c>
      <c r="QPB14" s="137" t="s">
        <v>12120</v>
      </c>
      <c r="QPC14" s="137" t="s">
        <v>12121</v>
      </c>
      <c r="QPD14" s="137" t="s">
        <v>12122</v>
      </c>
      <c r="QPE14" s="137" t="s">
        <v>12123</v>
      </c>
      <c r="QPF14" s="137" t="s">
        <v>12124</v>
      </c>
      <c r="QPG14" s="137" t="s">
        <v>12125</v>
      </c>
      <c r="QPH14" s="137" t="s">
        <v>12126</v>
      </c>
      <c r="QPI14" s="137" t="s">
        <v>12127</v>
      </c>
      <c r="QPJ14" s="137" t="s">
        <v>12128</v>
      </c>
      <c r="QPK14" s="137" t="s">
        <v>12129</v>
      </c>
      <c r="QPL14" s="137" t="s">
        <v>12130</v>
      </c>
      <c r="QPM14" s="137" t="s">
        <v>12131</v>
      </c>
      <c r="QPN14" s="137" t="s">
        <v>12132</v>
      </c>
      <c r="QPO14" s="137" t="s">
        <v>12133</v>
      </c>
      <c r="QPP14" s="137" t="s">
        <v>12134</v>
      </c>
      <c r="QPQ14" s="137" t="s">
        <v>12135</v>
      </c>
      <c r="QPR14" s="137" t="s">
        <v>12136</v>
      </c>
      <c r="QPS14" s="137" t="s">
        <v>12137</v>
      </c>
      <c r="QPT14" s="137" t="s">
        <v>12138</v>
      </c>
      <c r="QPU14" s="137" t="s">
        <v>12139</v>
      </c>
      <c r="QPV14" s="137" t="s">
        <v>12140</v>
      </c>
      <c r="QPW14" s="137" t="s">
        <v>12141</v>
      </c>
      <c r="QPX14" s="137" t="s">
        <v>12142</v>
      </c>
      <c r="QPY14" s="137" t="s">
        <v>12143</v>
      </c>
      <c r="QPZ14" s="137" t="s">
        <v>12144</v>
      </c>
      <c r="QQA14" s="137" t="s">
        <v>12145</v>
      </c>
      <c r="QQB14" s="137" t="s">
        <v>12146</v>
      </c>
      <c r="QQC14" s="137" t="s">
        <v>12147</v>
      </c>
      <c r="QQD14" s="137" t="s">
        <v>12148</v>
      </c>
      <c r="QQE14" s="137" t="s">
        <v>12149</v>
      </c>
      <c r="QQF14" s="137" t="s">
        <v>12150</v>
      </c>
      <c r="QQG14" s="137" t="s">
        <v>12151</v>
      </c>
      <c r="QQH14" s="137" t="s">
        <v>12152</v>
      </c>
      <c r="QQI14" s="137" t="s">
        <v>12153</v>
      </c>
      <c r="QQJ14" s="137" t="s">
        <v>12154</v>
      </c>
      <c r="QQK14" s="137" t="s">
        <v>12155</v>
      </c>
      <c r="QQL14" s="137" t="s">
        <v>12156</v>
      </c>
      <c r="QQM14" s="137" t="s">
        <v>12157</v>
      </c>
      <c r="QQN14" s="137" t="s">
        <v>12158</v>
      </c>
      <c r="QQO14" s="137" t="s">
        <v>12159</v>
      </c>
      <c r="QQP14" s="137" t="s">
        <v>12160</v>
      </c>
      <c r="QQQ14" s="137" t="s">
        <v>12161</v>
      </c>
      <c r="QQR14" s="137" t="s">
        <v>12162</v>
      </c>
      <c r="QQS14" s="137" t="s">
        <v>12163</v>
      </c>
      <c r="QQT14" s="137" t="s">
        <v>12164</v>
      </c>
      <c r="QQU14" s="137" t="s">
        <v>12165</v>
      </c>
      <c r="QQV14" s="137" t="s">
        <v>12166</v>
      </c>
      <c r="QQW14" s="137" t="s">
        <v>12167</v>
      </c>
      <c r="QQX14" s="137" t="s">
        <v>12168</v>
      </c>
      <c r="QQY14" s="137" t="s">
        <v>12169</v>
      </c>
      <c r="QQZ14" s="137" t="s">
        <v>12170</v>
      </c>
      <c r="QRA14" s="137" t="s">
        <v>12171</v>
      </c>
      <c r="QRB14" s="137" t="s">
        <v>12172</v>
      </c>
      <c r="QRC14" s="137" t="s">
        <v>12173</v>
      </c>
      <c r="QRD14" s="137" t="s">
        <v>12174</v>
      </c>
      <c r="QRE14" s="137" t="s">
        <v>12175</v>
      </c>
      <c r="QRF14" s="137" t="s">
        <v>12176</v>
      </c>
      <c r="QRG14" s="137" t="s">
        <v>12177</v>
      </c>
      <c r="QRH14" s="137" t="s">
        <v>12178</v>
      </c>
      <c r="QRI14" s="137" t="s">
        <v>12179</v>
      </c>
      <c r="QRJ14" s="137" t="s">
        <v>12180</v>
      </c>
      <c r="QRK14" s="137" t="s">
        <v>12181</v>
      </c>
      <c r="QRL14" s="137" t="s">
        <v>12182</v>
      </c>
      <c r="QRM14" s="137" t="s">
        <v>12183</v>
      </c>
      <c r="QRN14" s="137" t="s">
        <v>12184</v>
      </c>
      <c r="QRO14" s="137" t="s">
        <v>12185</v>
      </c>
      <c r="QRP14" s="137" t="s">
        <v>12186</v>
      </c>
      <c r="QRQ14" s="137" t="s">
        <v>12187</v>
      </c>
      <c r="QRR14" s="137" t="s">
        <v>12188</v>
      </c>
      <c r="QRS14" s="137" t="s">
        <v>12189</v>
      </c>
      <c r="QRT14" s="137" t="s">
        <v>12190</v>
      </c>
      <c r="QRU14" s="137" t="s">
        <v>12191</v>
      </c>
      <c r="QRV14" s="137" t="s">
        <v>12192</v>
      </c>
      <c r="QRW14" s="137" t="s">
        <v>12193</v>
      </c>
      <c r="QRX14" s="137" t="s">
        <v>12194</v>
      </c>
      <c r="QRY14" s="137" t="s">
        <v>12195</v>
      </c>
      <c r="QRZ14" s="137" t="s">
        <v>12196</v>
      </c>
      <c r="QSA14" s="137" t="s">
        <v>12197</v>
      </c>
      <c r="QSB14" s="137" t="s">
        <v>12198</v>
      </c>
      <c r="QSC14" s="137" t="s">
        <v>12199</v>
      </c>
      <c r="QSD14" s="137" t="s">
        <v>12200</v>
      </c>
      <c r="QSE14" s="137" t="s">
        <v>12201</v>
      </c>
      <c r="QSF14" s="137" t="s">
        <v>12202</v>
      </c>
      <c r="QSG14" s="137" t="s">
        <v>12203</v>
      </c>
      <c r="QSH14" s="137" t="s">
        <v>12204</v>
      </c>
      <c r="QSI14" s="137" t="s">
        <v>12205</v>
      </c>
      <c r="QSJ14" s="137" t="s">
        <v>12206</v>
      </c>
      <c r="QSK14" s="137" t="s">
        <v>12207</v>
      </c>
      <c r="QSL14" s="137" t="s">
        <v>12208</v>
      </c>
      <c r="QSM14" s="137" t="s">
        <v>12209</v>
      </c>
      <c r="QSN14" s="137" t="s">
        <v>12210</v>
      </c>
      <c r="QSO14" s="137" t="s">
        <v>12211</v>
      </c>
      <c r="QSP14" s="137" t="s">
        <v>12212</v>
      </c>
      <c r="QSQ14" s="137" t="s">
        <v>12213</v>
      </c>
      <c r="QSR14" s="137" t="s">
        <v>12214</v>
      </c>
      <c r="QSS14" s="137" t="s">
        <v>12215</v>
      </c>
      <c r="QST14" s="137" t="s">
        <v>12216</v>
      </c>
      <c r="QSU14" s="137" t="s">
        <v>12217</v>
      </c>
      <c r="QSV14" s="137" t="s">
        <v>12218</v>
      </c>
      <c r="QSW14" s="137" t="s">
        <v>12219</v>
      </c>
      <c r="QSX14" s="137" t="s">
        <v>12220</v>
      </c>
      <c r="QSY14" s="137" t="s">
        <v>12221</v>
      </c>
      <c r="QSZ14" s="137" t="s">
        <v>12222</v>
      </c>
      <c r="QTA14" s="137" t="s">
        <v>12223</v>
      </c>
      <c r="QTB14" s="137" t="s">
        <v>12224</v>
      </c>
      <c r="QTC14" s="137" t="s">
        <v>12225</v>
      </c>
      <c r="QTD14" s="137" t="s">
        <v>12226</v>
      </c>
      <c r="QTE14" s="137" t="s">
        <v>12227</v>
      </c>
      <c r="QTF14" s="137" t="s">
        <v>12228</v>
      </c>
      <c r="QTG14" s="137" t="s">
        <v>12229</v>
      </c>
      <c r="QTH14" s="137" t="s">
        <v>12230</v>
      </c>
      <c r="QTI14" s="137" t="s">
        <v>12231</v>
      </c>
      <c r="QTJ14" s="137" t="s">
        <v>12232</v>
      </c>
      <c r="QTK14" s="137" t="s">
        <v>12233</v>
      </c>
      <c r="QTL14" s="137" t="s">
        <v>12234</v>
      </c>
      <c r="QTM14" s="137" t="s">
        <v>12235</v>
      </c>
      <c r="QTN14" s="137" t="s">
        <v>12236</v>
      </c>
      <c r="QTO14" s="137" t="s">
        <v>12237</v>
      </c>
      <c r="QTP14" s="137" t="s">
        <v>12238</v>
      </c>
      <c r="QTQ14" s="137" t="s">
        <v>12239</v>
      </c>
      <c r="QTR14" s="137" t="s">
        <v>12240</v>
      </c>
      <c r="QTS14" s="137" t="s">
        <v>12241</v>
      </c>
      <c r="QTT14" s="137" t="s">
        <v>12242</v>
      </c>
      <c r="QTU14" s="137" t="s">
        <v>12243</v>
      </c>
      <c r="QTV14" s="137" t="s">
        <v>12244</v>
      </c>
      <c r="QTW14" s="137" t="s">
        <v>12245</v>
      </c>
      <c r="QTX14" s="137" t="s">
        <v>12246</v>
      </c>
      <c r="QTY14" s="137" t="s">
        <v>12247</v>
      </c>
      <c r="QTZ14" s="137" t="s">
        <v>12248</v>
      </c>
      <c r="QUA14" s="137" t="s">
        <v>12249</v>
      </c>
      <c r="QUB14" s="137" t="s">
        <v>12250</v>
      </c>
      <c r="QUC14" s="137" t="s">
        <v>12251</v>
      </c>
      <c r="QUD14" s="137" t="s">
        <v>12252</v>
      </c>
      <c r="QUE14" s="137" t="s">
        <v>12253</v>
      </c>
      <c r="QUF14" s="137" t="s">
        <v>12254</v>
      </c>
      <c r="QUG14" s="137" t="s">
        <v>12255</v>
      </c>
      <c r="QUH14" s="137" t="s">
        <v>12256</v>
      </c>
      <c r="QUI14" s="137" t="s">
        <v>12257</v>
      </c>
      <c r="QUJ14" s="137" t="s">
        <v>12258</v>
      </c>
      <c r="QUK14" s="137" t="s">
        <v>12259</v>
      </c>
      <c r="QUL14" s="137" t="s">
        <v>12260</v>
      </c>
      <c r="QUM14" s="137" t="s">
        <v>12261</v>
      </c>
      <c r="QUN14" s="137" t="s">
        <v>12262</v>
      </c>
      <c r="QUO14" s="137" t="s">
        <v>12263</v>
      </c>
      <c r="QUP14" s="137" t="s">
        <v>12264</v>
      </c>
      <c r="QUQ14" s="137" t="s">
        <v>12265</v>
      </c>
      <c r="QUR14" s="137" t="s">
        <v>12266</v>
      </c>
      <c r="QUS14" s="137" t="s">
        <v>12267</v>
      </c>
      <c r="QUT14" s="137" t="s">
        <v>12268</v>
      </c>
      <c r="QUU14" s="137" t="s">
        <v>12269</v>
      </c>
      <c r="QUV14" s="137" t="s">
        <v>12270</v>
      </c>
      <c r="QUW14" s="137" t="s">
        <v>12271</v>
      </c>
      <c r="QUX14" s="137" t="s">
        <v>12272</v>
      </c>
      <c r="QUY14" s="137" t="s">
        <v>12273</v>
      </c>
      <c r="QUZ14" s="137" t="s">
        <v>12274</v>
      </c>
      <c r="QVA14" s="137" t="s">
        <v>12275</v>
      </c>
      <c r="QVB14" s="137" t="s">
        <v>12276</v>
      </c>
      <c r="QVC14" s="137" t="s">
        <v>12277</v>
      </c>
      <c r="QVD14" s="137" t="s">
        <v>12278</v>
      </c>
      <c r="QVE14" s="137" t="s">
        <v>12279</v>
      </c>
      <c r="QVF14" s="137" t="s">
        <v>12280</v>
      </c>
      <c r="QVG14" s="137" t="s">
        <v>12281</v>
      </c>
      <c r="QVH14" s="137" t="s">
        <v>12282</v>
      </c>
      <c r="QVI14" s="137" t="s">
        <v>12283</v>
      </c>
      <c r="QVJ14" s="137" t="s">
        <v>12284</v>
      </c>
      <c r="QVK14" s="137" t="s">
        <v>12285</v>
      </c>
      <c r="QVL14" s="137" t="s">
        <v>12286</v>
      </c>
      <c r="QVM14" s="137" t="s">
        <v>12287</v>
      </c>
      <c r="QVN14" s="137" t="s">
        <v>12288</v>
      </c>
      <c r="QVO14" s="137" t="s">
        <v>12289</v>
      </c>
      <c r="QVP14" s="137" t="s">
        <v>12290</v>
      </c>
      <c r="QVQ14" s="137" t="s">
        <v>12291</v>
      </c>
      <c r="QVR14" s="137" t="s">
        <v>12292</v>
      </c>
      <c r="QVS14" s="137" t="s">
        <v>12293</v>
      </c>
      <c r="QVT14" s="137" t="s">
        <v>12294</v>
      </c>
      <c r="QVU14" s="137" t="s">
        <v>12295</v>
      </c>
      <c r="QVV14" s="137" t="s">
        <v>12296</v>
      </c>
      <c r="QVW14" s="137" t="s">
        <v>12297</v>
      </c>
      <c r="QVX14" s="137" t="s">
        <v>12298</v>
      </c>
      <c r="QVY14" s="137" t="s">
        <v>12299</v>
      </c>
      <c r="QVZ14" s="137" t="s">
        <v>12300</v>
      </c>
      <c r="QWA14" s="137" t="s">
        <v>12301</v>
      </c>
      <c r="QWB14" s="137" t="s">
        <v>12302</v>
      </c>
      <c r="QWC14" s="137" t="s">
        <v>12303</v>
      </c>
      <c r="QWD14" s="137" t="s">
        <v>12304</v>
      </c>
      <c r="QWE14" s="137" t="s">
        <v>12305</v>
      </c>
      <c r="QWF14" s="137" t="s">
        <v>12306</v>
      </c>
      <c r="QWG14" s="137" t="s">
        <v>12307</v>
      </c>
      <c r="QWH14" s="137" t="s">
        <v>12308</v>
      </c>
      <c r="QWI14" s="137" t="s">
        <v>12309</v>
      </c>
      <c r="QWJ14" s="137" t="s">
        <v>12310</v>
      </c>
      <c r="QWK14" s="137" t="s">
        <v>12311</v>
      </c>
      <c r="QWL14" s="137" t="s">
        <v>12312</v>
      </c>
      <c r="QWM14" s="137" t="s">
        <v>12313</v>
      </c>
      <c r="QWN14" s="137" t="s">
        <v>12314</v>
      </c>
      <c r="QWO14" s="137" t="s">
        <v>12315</v>
      </c>
      <c r="QWP14" s="137" t="s">
        <v>12316</v>
      </c>
      <c r="QWQ14" s="137" t="s">
        <v>12317</v>
      </c>
      <c r="QWR14" s="137" t="s">
        <v>12318</v>
      </c>
      <c r="QWS14" s="137" t="s">
        <v>12319</v>
      </c>
      <c r="QWT14" s="137" t="s">
        <v>12320</v>
      </c>
      <c r="QWU14" s="137" t="s">
        <v>12321</v>
      </c>
      <c r="QWV14" s="137" t="s">
        <v>12322</v>
      </c>
      <c r="QWW14" s="137" t="s">
        <v>12323</v>
      </c>
      <c r="QWX14" s="137" t="s">
        <v>12324</v>
      </c>
      <c r="QWY14" s="137" t="s">
        <v>12325</v>
      </c>
      <c r="QWZ14" s="137" t="s">
        <v>12326</v>
      </c>
      <c r="QXA14" s="137" t="s">
        <v>12327</v>
      </c>
      <c r="QXB14" s="137" t="s">
        <v>12328</v>
      </c>
      <c r="QXC14" s="137" t="s">
        <v>12329</v>
      </c>
      <c r="QXD14" s="137" t="s">
        <v>12330</v>
      </c>
      <c r="QXE14" s="137" t="s">
        <v>12331</v>
      </c>
      <c r="QXF14" s="137" t="s">
        <v>12332</v>
      </c>
      <c r="QXG14" s="137" t="s">
        <v>12333</v>
      </c>
      <c r="QXH14" s="137" t="s">
        <v>12334</v>
      </c>
      <c r="QXI14" s="137" t="s">
        <v>12335</v>
      </c>
      <c r="QXJ14" s="137" t="s">
        <v>12336</v>
      </c>
      <c r="QXK14" s="137" t="s">
        <v>12337</v>
      </c>
      <c r="QXL14" s="137" t="s">
        <v>12338</v>
      </c>
      <c r="QXM14" s="137" t="s">
        <v>12339</v>
      </c>
      <c r="QXN14" s="137" t="s">
        <v>12340</v>
      </c>
      <c r="QXO14" s="137" t="s">
        <v>12341</v>
      </c>
      <c r="QXP14" s="137" t="s">
        <v>12342</v>
      </c>
      <c r="QXQ14" s="137" t="s">
        <v>12343</v>
      </c>
      <c r="QXR14" s="137" t="s">
        <v>12344</v>
      </c>
      <c r="QXS14" s="137" t="s">
        <v>12345</v>
      </c>
      <c r="QXT14" s="137" t="s">
        <v>12346</v>
      </c>
      <c r="QXU14" s="137" t="s">
        <v>12347</v>
      </c>
      <c r="QXV14" s="137" t="s">
        <v>12348</v>
      </c>
      <c r="QXW14" s="137" t="s">
        <v>12349</v>
      </c>
      <c r="QXX14" s="137" t="s">
        <v>12350</v>
      </c>
      <c r="QXY14" s="137" t="s">
        <v>12351</v>
      </c>
      <c r="QXZ14" s="137" t="s">
        <v>12352</v>
      </c>
      <c r="QYA14" s="137" t="s">
        <v>12353</v>
      </c>
      <c r="QYB14" s="137" t="s">
        <v>12354</v>
      </c>
      <c r="QYC14" s="137" t="s">
        <v>12355</v>
      </c>
      <c r="QYD14" s="137" t="s">
        <v>12356</v>
      </c>
      <c r="QYE14" s="137" t="s">
        <v>12357</v>
      </c>
      <c r="QYF14" s="137" t="s">
        <v>12358</v>
      </c>
      <c r="QYG14" s="137" t="s">
        <v>12359</v>
      </c>
      <c r="QYH14" s="137" t="s">
        <v>12360</v>
      </c>
      <c r="QYI14" s="137" t="s">
        <v>12361</v>
      </c>
      <c r="QYJ14" s="137" t="s">
        <v>12362</v>
      </c>
      <c r="QYK14" s="137" t="s">
        <v>12363</v>
      </c>
      <c r="QYL14" s="137" t="s">
        <v>12364</v>
      </c>
      <c r="QYM14" s="137" t="s">
        <v>12365</v>
      </c>
      <c r="QYN14" s="137" t="s">
        <v>12366</v>
      </c>
      <c r="QYO14" s="137" t="s">
        <v>12367</v>
      </c>
      <c r="QYP14" s="137" t="s">
        <v>12368</v>
      </c>
      <c r="QYQ14" s="137" t="s">
        <v>12369</v>
      </c>
      <c r="QYR14" s="137" t="s">
        <v>12370</v>
      </c>
      <c r="QYS14" s="137" t="s">
        <v>12371</v>
      </c>
      <c r="QYT14" s="137" t="s">
        <v>12372</v>
      </c>
      <c r="QYU14" s="137" t="s">
        <v>12373</v>
      </c>
      <c r="QYV14" s="137" t="s">
        <v>12374</v>
      </c>
      <c r="QYW14" s="137" t="s">
        <v>12375</v>
      </c>
      <c r="QYX14" s="137" t="s">
        <v>12376</v>
      </c>
      <c r="QYY14" s="137" t="s">
        <v>12377</v>
      </c>
      <c r="QYZ14" s="137" t="s">
        <v>12378</v>
      </c>
      <c r="QZA14" s="137" t="s">
        <v>12379</v>
      </c>
      <c r="QZB14" s="137" t="s">
        <v>12380</v>
      </c>
      <c r="QZC14" s="137" t="s">
        <v>12381</v>
      </c>
      <c r="QZD14" s="137" t="s">
        <v>12382</v>
      </c>
      <c r="QZE14" s="137" t="s">
        <v>12383</v>
      </c>
      <c r="QZF14" s="137" t="s">
        <v>12384</v>
      </c>
      <c r="QZG14" s="137" t="s">
        <v>12385</v>
      </c>
      <c r="QZH14" s="137" t="s">
        <v>12386</v>
      </c>
      <c r="QZI14" s="137" t="s">
        <v>12387</v>
      </c>
      <c r="QZJ14" s="137" t="s">
        <v>12388</v>
      </c>
      <c r="QZK14" s="137" t="s">
        <v>12389</v>
      </c>
      <c r="QZL14" s="137" t="s">
        <v>12390</v>
      </c>
      <c r="QZM14" s="137" t="s">
        <v>12391</v>
      </c>
      <c r="QZN14" s="137" t="s">
        <v>12392</v>
      </c>
      <c r="QZO14" s="137" t="s">
        <v>12393</v>
      </c>
      <c r="QZP14" s="137" t="s">
        <v>12394</v>
      </c>
      <c r="QZQ14" s="137" t="s">
        <v>12395</v>
      </c>
      <c r="QZR14" s="137" t="s">
        <v>12396</v>
      </c>
      <c r="QZS14" s="137" t="s">
        <v>12397</v>
      </c>
      <c r="QZT14" s="137" t="s">
        <v>12398</v>
      </c>
      <c r="QZU14" s="137" t="s">
        <v>12399</v>
      </c>
      <c r="QZV14" s="137" t="s">
        <v>12400</v>
      </c>
      <c r="QZW14" s="137" t="s">
        <v>12401</v>
      </c>
      <c r="QZX14" s="137" t="s">
        <v>12402</v>
      </c>
      <c r="QZY14" s="137" t="s">
        <v>12403</v>
      </c>
      <c r="QZZ14" s="137" t="s">
        <v>12404</v>
      </c>
      <c r="RAA14" s="137" t="s">
        <v>12405</v>
      </c>
      <c r="RAB14" s="137" t="s">
        <v>12406</v>
      </c>
      <c r="RAC14" s="137" t="s">
        <v>12407</v>
      </c>
      <c r="RAD14" s="137" t="s">
        <v>12408</v>
      </c>
      <c r="RAE14" s="137" t="s">
        <v>12409</v>
      </c>
      <c r="RAF14" s="137" t="s">
        <v>12410</v>
      </c>
      <c r="RAG14" s="137" t="s">
        <v>12411</v>
      </c>
      <c r="RAH14" s="137" t="s">
        <v>12412</v>
      </c>
      <c r="RAI14" s="137" t="s">
        <v>12413</v>
      </c>
      <c r="RAJ14" s="137" t="s">
        <v>12414</v>
      </c>
      <c r="RAK14" s="137" t="s">
        <v>12415</v>
      </c>
      <c r="RAL14" s="137" t="s">
        <v>12416</v>
      </c>
      <c r="RAM14" s="137" t="s">
        <v>12417</v>
      </c>
      <c r="RAN14" s="137" t="s">
        <v>12418</v>
      </c>
      <c r="RAO14" s="137" t="s">
        <v>12419</v>
      </c>
      <c r="RAP14" s="137" t="s">
        <v>12420</v>
      </c>
      <c r="RAQ14" s="137" t="s">
        <v>12421</v>
      </c>
      <c r="RAR14" s="137" t="s">
        <v>12422</v>
      </c>
      <c r="RAS14" s="137" t="s">
        <v>12423</v>
      </c>
      <c r="RAT14" s="137" t="s">
        <v>12424</v>
      </c>
      <c r="RAU14" s="137" t="s">
        <v>12425</v>
      </c>
      <c r="RAV14" s="137" t="s">
        <v>12426</v>
      </c>
      <c r="RAW14" s="137" t="s">
        <v>12427</v>
      </c>
      <c r="RAX14" s="137" t="s">
        <v>12428</v>
      </c>
      <c r="RAY14" s="137" t="s">
        <v>12429</v>
      </c>
      <c r="RAZ14" s="137" t="s">
        <v>12430</v>
      </c>
      <c r="RBA14" s="137" t="s">
        <v>12431</v>
      </c>
      <c r="RBB14" s="137" t="s">
        <v>12432</v>
      </c>
      <c r="RBC14" s="137" t="s">
        <v>12433</v>
      </c>
      <c r="RBD14" s="137" t="s">
        <v>12434</v>
      </c>
      <c r="RBE14" s="137" t="s">
        <v>12435</v>
      </c>
      <c r="RBF14" s="137" t="s">
        <v>12436</v>
      </c>
      <c r="RBG14" s="137" t="s">
        <v>12437</v>
      </c>
      <c r="RBH14" s="137" t="s">
        <v>12438</v>
      </c>
      <c r="RBI14" s="137" t="s">
        <v>12439</v>
      </c>
      <c r="RBJ14" s="137" t="s">
        <v>12440</v>
      </c>
      <c r="RBK14" s="137" t="s">
        <v>12441</v>
      </c>
      <c r="RBL14" s="137" t="s">
        <v>12442</v>
      </c>
      <c r="RBM14" s="137" t="s">
        <v>12443</v>
      </c>
      <c r="RBN14" s="137" t="s">
        <v>12444</v>
      </c>
      <c r="RBO14" s="137" t="s">
        <v>12445</v>
      </c>
      <c r="RBP14" s="137" t="s">
        <v>12446</v>
      </c>
      <c r="RBQ14" s="137" t="s">
        <v>12447</v>
      </c>
      <c r="RBR14" s="137" t="s">
        <v>12448</v>
      </c>
      <c r="RBS14" s="137" t="s">
        <v>12449</v>
      </c>
      <c r="RBT14" s="137" t="s">
        <v>12450</v>
      </c>
      <c r="RBU14" s="137" t="s">
        <v>12451</v>
      </c>
      <c r="RBV14" s="137" t="s">
        <v>12452</v>
      </c>
      <c r="RBW14" s="137" t="s">
        <v>12453</v>
      </c>
      <c r="RBX14" s="137" t="s">
        <v>12454</v>
      </c>
      <c r="RBY14" s="137" t="s">
        <v>12455</v>
      </c>
      <c r="RBZ14" s="137" t="s">
        <v>12456</v>
      </c>
      <c r="RCA14" s="137" t="s">
        <v>12457</v>
      </c>
      <c r="RCB14" s="137" t="s">
        <v>12458</v>
      </c>
      <c r="RCC14" s="137" t="s">
        <v>12459</v>
      </c>
      <c r="RCD14" s="137" t="s">
        <v>12460</v>
      </c>
      <c r="RCE14" s="137" t="s">
        <v>12461</v>
      </c>
      <c r="RCF14" s="137" t="s">
        <v>12462</v>
      </c>
      <c r="RCG14" s="137" t="s">
        <v>12463</v>
      </c>
      <c r="RCH14" s="137" t="s">
        <v>12464</v>
      </c>
      <c r="RCI14" s="137" t="s">
        <v>12465</v>
      </c>
      <c r="RCJ14" s="137" t="s">
        <v>12466</v>
      </c>
      <c r="RCK14" s="137" t="s">
        <v>12467</v>
      </c>
      <c r="RCL14" s="137" t="s">
        <v>12468</v>
      </c>
      <c r="RCM14" s="137" t="s">
        <v>12469</v>
      </c>
      <c r="RCN14" s="137" t="s">
        <v>12470</v>
      </c>
      <c r="RCO14" s="137" t="s">
        <v>12471</v>
      </c>
      <c r="RCP14" s="137" t="s">
        <v>12472</v>
      </c>
      <c r="RCQ14" s="137" t="s">
        <v>12473</v>
      </c>
      <c r="RCR14" s="137" t="s">
        <v>12474</v>
      </c>
      <c r="RCS14" s="137" t="s">
        <v>12475</v>
      </c>
      <c r="RCT14" s="137" t="s">
        <v>12476</v>
      </c>
      <c r="RCU14" s="137" t="s">
        <v>12477</v>
      </c>
      <c r="RCV14" s="137" t="s">
        <v>12478</v>
      </c>
      <c r="RCW14" s="137" t="s">
        <v>12479</v>
      </c>
      <c r="RCX14" s="137" t="s">
        <v>12480</v>
      </c>
      <c r="RCY14" s="137" t="s">
        <v>12481</v>
      </c>
      <c r="RCZ14" s="137" t="s">
        <v>12482</v>
      </c>
      <c r="RDA14" s="137" t="s">
        <v>12483</v>
      </c>
      <c r="RDB14" s="137" t="s">
        <v>12484</v>
      </c>
      <c r="RDC14" s="137" t="s">
        <v>12485</v>
      </c>
      <c r="RDD14" s="137" t="s">
        <v>12486</v>
      </c>
      <c r="RDE14" s="137" t="s">
        <v>12487</v>
      </c>
      <c r="RDF14" s="137" t="s">
        <v>12488</v>
      </c>
      <c r="RDG14" s="137" t="s">
        <v>12489</v>
      </c>
      <c r="RDH14" s="137" t="s">
        <v>12490</v>
      </c>
      <c r="RDI14" s="137" t="s">
        <v>12491</v>
      </c>
      <c r="RDJ14" s="137" t="s">
        <v>12492</v>
      </c>
      <c r="RDK14" s="137" t="s">
        <v>12493</v>
      </c>
      <c r="RDL14" s="137" t="s">
        <v>12494</v>
      </c>
      <c r="RDM14" s="137" t="s">
        <v>12495</v>
      </c>
      <c r="RDN14" s="137" t="s">
        <v>12496</v>
      </c>
      <c r="RDO14" s="137" t="s">
        <v>12497</v>
      </c>
      <c r="RDP14" s="137" t="s">
        <v>12498</v>
      </c>
      <c r="RDQ14" s="137" t="s">
        <v>12499</v>
      </c>
      <c r="RDR14" s="137" t="s">
        <v>12500</v>
      </c>
      <c r="RDS14" s="137" t="s">
        <v>12501</v>
      </c>
      <c r="RDT14" s="137" t="s">
        <v>12502</v>
      </c>
      <c r="RDU14" s="137" t="s">
        <v>12503</v>
      </c>
      <c r="RDV14" s="137" t="s">
        <v>12504</v>
      </c>
      <c r="RDW14" s="137" t="s">
        <v>12505</v>
      </c>
      <c r="RDX14" s="137" t="s">
        <v>12506</v>
      </c>
      <c r="RDY14" s="137" t="s">
        <v>12507</v>
      </c>
      <c r="RDZ14" s="137" t="s">
        <v>12508</v>
      </c>
      <c r="REA14" s="137" t="s">
        <v>12509</v>
      </c>
      <c r="REB14" s="137" t="s">
        <v>12510</v>
      </c>
      <c r="REC14" s="137" t="s">
        <v>12511</v>
      </c>
      <c r="RED14" s="137" t="s">
        <v>12512</v>
      </c>
      <c r="REE14" s="137" t="s">
        <v>12513</v>
      </c>
      <c r="REF14" s="137" t="s">
        <v>12514</v>
      </c>
      <c r="REG14" s="137" t="s">
        <v>12515</v>
      </c>
      <c r="REH14" s="137" t="s">
        <v>12516</v>
      </c>
      <c r="REI14" s="137" t="s">
        <v>12517</v>
      </c>
      <c r="REJ14" s="137" t="s">
        <v>12518</v>
      </c>
      <c r="REK14" s="137" t="s">
        <v>12519</v>
      </c>
      <c r="REL14" s="137" t="s">
        <v>12520</v>
      </c>
      <c r="REM14" s="137" t="s">
        <v>12521</v>
      </c>
      <c r="REN14" s="137" t="s">
        <v>12522</v>
      </c>
      <c r="REO14" s="137" t="s">
        <v>12523</v>
      </c>
      <c r="REP14" s="137" t="s">
        <v>12524</v>
      </c>
      <c r="REQ14" s="137" t="s">
        <v>12525</v>
      </c>
      <c r="RER14" s="137" t="s">
        <v>12526</v>
      </c>
      <c r="RES14" s="137" t="s">
        <v>12527</v>
      </c>
      <c r="RET14" s="137" t="s">
        <v>12528</v>
      </c>
      <c r="REU14" s="137" t="s">
        <v>12529</v>
      </c>
      <c r="REV14" s="137" t="s">
        <v>12530</v>
      </c>
      <c r="REW14" s="137" t="s">
        <v>12531</v>
      </c>
      <c r="REX14" s="137" t="s">
        <v>12532</v>
      </c>
      <c r="REY14" s="137" t="s">
        <v>12533</v>
      </c>
      <c r="REZ14" s="137" t="s">
        <v>12534</v>
      </c>
      <c r="RFA14" s="137" t="s">
        <v>12535</v>
      </c>
      <c r="RFB14" s="137" t="s">
        <v>12536</v>
      </c>
      <c r="RFC14" s="137" t="s">
        <v>12537</v>
      </c>
      <c r="RFD14" s="137" t="s">
        <v>12538</v>
      </c>
      <c r="RFE14" s="137" t="s">
        <v>12539</v>
      </c>
      <c r="RFF14" s="137" t="s">
        <v>12540</v>
      </c>
      <c r="RFG14" s="137" t="s">
        <v>12541</v>
      </c>
      <c r="RFH14" s="137" t="s">
        <v>12542</v>
      </c>
      <c r="RFI14" s="137" t="s">
        <v>12543</v>
      </c>
      <c r="RFJ14" s="137" t="s">
        <v>12544</v>
      </c>
      <c r="RFK14" s="137" t="s">
        <v>12545</v>
      </c>
      <c r="RFL14" s="137" t="s">
        <v>12546</v>
      </c>
      <c r="RFM14" s="137" t="s">
        <v>12547</v>
      </c>
      <c r="RFN14" s="137" t="s">
        <v>12548</v>
      </c>
      <c r="RFO14" s="137" t="s">
        <v>12549</v>
      </c>
      <c r="RFP14" s="137" t="s">
        <v>12550</v>
      </c>
      <c r="RFQ14" s="137" t="s">
        <v>12551</v>
      </c>
      <c r="RFR14" s="137" t="s">
        <v>12552</v>
      </c>
      <c r="RFS14" s="137" t="s">
        <v>12553</v>
      </c>
      <c r="RFT14" s="137" t="s">
        <v>12554</v>
      </c>
      <c r="RFU14" s="137" t="s">
        <v>12555</v>
      </c>
      <c r="RFV14" s="137" t="s">
        <v>12556</v>
      </c>
      <c r="RFW14" s="137" t="s">
        <v>12557</v>
      </c>
      <c r="RFX14" s="137" t="s">
        <v>12558</v>
      </c>
      <c r="RFY14" s="137" t="s">
        <v>12559</v>
      </c>
      <c r="RFZ14" s="137" t="s">
        <v>12560</v>
      </c>
      <c r="RGA14" s="137" t="s">
        <v>12561</v>
      </c>
      <c r="RGB14" s="137" t="s">
        <v>12562</v>
      </c>
      <c r="RGC14" s="137" t="s">
        <v>12563</v>
      </c>
      <c r="RGD14" s="137" t="s">
        <v>12564</v>
      </c>
      <c r="RGE14" s="137" t="s">
        <v>12565</v>
      </c>
      <c r="RGF14" s="137" t="s">
        <v>12566</v>
      </c>
      <c r="RGG14" s="137" t="s">
        <v>12567</v>
      </c>
      <c r="RGH14" s="137" t="s">
        <v>12568</v>
      </c>
      <c r="RGI14" s="137" t="s">
        <v>12569</v>
      </c>
      <c r="RGJ14" s="137" t="s">
        <v>12570</v>
      </c>
      <c r="RGK14" s="137" t="s">
        <v>12571</v>
      </c>
      <c r="RGL14" s="137" t="s">
        <v>12572</v>
      </c>
      <c r="RGM14" s="137" t="s">
        <v>12573</v>
      </c>
      <c r="RGN14" s="137" t="s">
        <v>12574</v>
      </c>
      <c r="RGO14" s="137" t="s">
        <v>12575</v>
      </c>
      <c r="RGP14" s="137" t="s">
        <v>12576</v>
      </c>
      <c r="RGQ14" s="137" t="s">
        <v>12577</v>
      </c>
      <c r="RGR14" s="137" t="s">
        <v>12578</v>
      </c>
      <c r="RGS14" s="137" t="s">
        <v>12579</v>
      </c>
      <c r="RGT14" s="137" t="s">
        <v>12580</v>
      </c>
      <c r="RGU14" s="137" t="s">
        <v>12581</v>
      </c>
      <c r="RGV14" s="137" t="s">
        <v>12582</v>
      </c>
      <c r="RGW14" s="137" t="s">
        <v>12583</v>
      </c>
      <c r="RGX14" s="137" t="s">
        <v>12584</v>
      </c>
      <c r="RGY14" s="137" t="s">
        <v>12585</v>
      </c>
      <c r="RGZ14" s="137" t="s">
        <v>12586</v>
      </c>
      <c r="RHA14" s="137" t="s">
        <v>12587</v>
      </c>
      <c r="RHB14" s="137" t="s">
        <v>12588</v>
      </c>
      <c r="RHC14" s="137" t="s">
        <v>12589</v>
      </c>
      <c r="RHD14" s="137" t="s">
        <v>12590</v>
      </c>
      <c r="RHE14" s="137" t="s">
        <v>12591</v>
      </c>
      <c r="RHF14" s="137" t="s">
        <v>12592</v>
      </c>
      <c r="RHG14" s="137" t="s">
        <v>12593</v>
      </c>
      <c r="RHH14" s="137" t="s">
        <v>12594</v>
      </c>
      <c r="RHI14" s="137" t="s">
        <v>12595</v>
      </c>
      <c r="RHJ14" s="137" t="s">
        <v>12596</v>
      </c>
      <c r="RHK14" s="137" t="s">
        <v>12597</v>
      </c>
      <c r="RHL14" s="137" t="s">
        <v>12598</v>
      </c>
      <c r="RHM14" s="137" t="s">
        <v>12599</v>
      </c>
      <c r="RHN14" s="137" t="s">
        <v>12600</v>
      </c>
      <c r="RHO14" s="137" t="s">
        <v>12601</v>
      </c>
      <c r="RHP14" s="137" t="s">
        <v>12602</v>
      </c>
      <c r="RHQ14" s="137" t="s">
        <v>12603</v>
      </c>
      <c r="RHR14" s="137" t="s">
        <v>12604</v>
      </c>
      <c r="RHS14" s="137" t="s">
        <v>12605</v>
      </c>
      <c r="RHT14" s="137" t="s">
        <v>12606</v>
      </c>
      <c r="RHU14" s="137" t="s">
        <v>12607</v>
      </c>
      <c r="RHV14" s="137" t="s">
        <v>12608</v>
      </c>
      <c r="RHW14" s="137" t="s">
        <v>12609</v>
      </c>
      <c r="RHX14" s="137" t="s">
        <v>12610</v>
      </c>
      <c r="RHY14" s="137" t="s">
        <v>12611</v>
      </c>
      <c r="RHZ14" s="137" t="s">
        <v>12612</v>
      </c>
      <c r="RIA14" s="137" t="s">
        <v>12613</v>
      </c>
      <c r="RIB14" s="137" t="s">
        <v>12614</v>
      </c>
      <c r="RIC14" s="137" t="s">
        <v>12615</v>
      </c>
      <c r="RID14" s="137" t="s">
        <v>12616</v>
      </c>
      <c r="RIE14" s="137" t="s">
        <v>12617</v>
      </c>
      <c r="RIF14" s="137" t="s">
        <v>12618</v>
      </c>
      <c r="RIG14" s="137" t="s">
        <v>12619</v>
      </c>
      <c r="RIH14" s="137" t="s">
        <v>12620</v>
      </c>
      <c r="RII14" s="137" t="s">
        <v>12621</v>
      </c>
      <c r="RIJ14" s="137" t="s">
        <v>12622</v>
      </c>
      <c r="RIK14" s="137" t="s">
        <v>12623</v>
      </c>
      <c r="RIL14" s="137" t="s">
        <v>12624</v>
      </c>
      <c r="RIM14" s="137" t="s">
        <v>12625</v>
      </c>
      <c r="RIN14" s="137" t="s">
        <v>12626</v>
      </c>
      <c r="RIO14" s="137" t="s">
        <v>12627</v>
      </c>
      <c r="RIP14" s="137" t="s">
        <v>12628</v>
      </c>
      <c r="RIQ14" s="137" t="s">
        <v>12629</v>
      </c>
      <c r="RIR14" s="137" t="s">
        <v>12630</v>
      </c>
      <c r="RIS14" s="137" t="s">
        <v>12631</v>
      </c>
      <c r="RIT14" s="137" t="s">
        <v>12632</v>
      </c>
      <c r="RIU14" s="137" t="s">
        <v>12633</v>
      </c>
      <c r="RIV14" s="137" t="s">
        <v>12634</v>
      </c>
      <c r="RIW14" s="137" t="s">
        <v>12635</v>
      </c>
      <c r="RIX14" s="137" t="s">
        <v>12636</v>
      </c>
      <c r="RIY14" s="137" t="s">
        <v>12637</v>
      </c>
      <c r="RIZ14" s="137" t="s">
        <v>12638</v>
      </c>
      <c r="RJA14" s="137" t="s">
        <v>12639</v>
      </c>
      <c r="RJB14" s="137" t="s">
        <v>12640</v>
      </c>
      <c r="RJC14" s="137" t="s">
        <v>12641</v>
      </c>
      <c r="RJD14" s="137" t="s">
        <v>12642</v>
      </c>
      <c r="RJE14" s="137" t="s">
        <v>12643</v>
      </c>
      <c r="RJF14" s="137" t="s">
        <v>12644</v>
      </c>
      <c r="RJG14" s="137" t="s">
        <v>12645</v>
      </c>
      <c r="RJH14" s="137" t="s">
        <v>12646</v>
      </c>
      <c r="RJI14" s="137" t="s">
        <v>12647</v>
      </c>
      <c r="RJJ14" s="137" t="s">
        <v>12648</v>
      </c>
      <c r="RJK14" s="137" t="s">
        <v>12649</v>
      </c>
      <c r="RJL14" s="137" t="s">
        <v>12650</v>
      </c>
      <c r="RJM14" s="137" t="s">
        <v>12651</v>
      </c>
      <c r="RJN14" s="137" t="s">
        <v>12652</v>
      </c>
      <c r="RJO14" s="137" t="s">
        <v>12653</v>
      </c>
      <c r="RJP14" s="137" t="s">
        <v>12654</v>
      </c>
      <c r="RJQ14" s="137" t="s">
        <v>12655</v>
      </c>
      <c r="RJR14" s="137" t="s">
        <v>12656</v>
      </c>
      <c r="RJS14" s="137" t="s">
        <v>12657</v>
      </c>
      <c r="RJT14" s="137" t="s">
        <v>12658</v>
      </c>
      <c r="RJU14" s="137" t="s">
        <v>12659</v>
      </c>
      <c r="RJV14" s="137" t="s">
        <v>12660</v>
      </c>
      <c r="RJW14" s="137" t="s">
        <v>12661</v>
      </c>
      <c r="RJX14" s="137" t="s">
        <v>12662</v>
      </c>
      <c r="RJY14" s="137" t="s">
        <v>12663</v>
      </c>
      <c r="RJZ14" s="137" t="s">
        <v>12664</v>
      </c>
      <c r="RKA14" s="137" t="s">
        <v>12665</v>
      </c>
      <c r="RKB14" s="137" t="s">
        <v>12666</v>
      </c>
      <c r="RKC14" s="137" t="s">
        <v>12667</v>
      </c>
      <c r="RKD14" s="137" t="s">
        <v>12668</v>
      </c>
      <c r="RKE14" s="137" t="s">
        <v>12669</v>
      </c>
      <c r="RKF14" s="137" t="s">
        <v>12670</v>
      </c>
      <c r="RKG14" s="137" t="s">
        <v>12671</v>
      </c>
      <c r="RKH14" s="137" t="s">
        <v>12672</v>
      </c>
      <c r="RKI14" s="137" t="s">
        <v>12673</v>
      </c>
      <c r="RKJ14" s="137" t="s">
        <v>12674</v>
      </c>
      <c r="RKK14" s="137" t="s">
        <v>12675</v>
      </c>
      <c r="RKL14" s="137" t="s">
        <v>12676</v>
      </c>
      <c r="RKM14" s="137" t="s">
        <v>12677</v>
      </c>
      <c r="RKN14" s="137" t="s">
        <v>12678</v>
      </c>
      <c r="RKO14" s="137" t="s">
        <v>12679</v>
      </c>
      <c r="RKP14" s="137" t="s">
        <v>12680</v>
      </c>
      <c r="RKQ14" s="137" t="s">
        <v>12681</v>
      </c>
      <c r="RKR14" s="137" t="s">
        <v>12682</v>
      </c>
      <c r="RKS14" s="137" t="s">
        <v>12683</v>
      </c>
      <c r="RKT14" s="137" t="s">
        <v>12684</v>
      </c>
      <c r="RKU14" s="137" t="s">
        <v>12685</v>
      </c>
      <c r="RKV14" s="137" t="s">
        <v>12686</v>
      </c>
      <c r="RKW14" s="137" t="s">
        <v>12687</v>
      </c>
      <c r="RKX14" s="137" t="s">
        <v>12688</v>
      </c>
      <c r="RKY14" s="137" t="s">
        <v>12689</v>
      </c>
      <c r="RKZ14" s="137" t="s">
        <v>12690</v>
      </c>
      <c r="RLA14" s="137" t="s">
        <v>12691</v>
      </c>
      <c r="RLB14" s="137" t="s">
        <v>12692</v>
      </c>
      <c r="RLC14" s="137" t="s">
        <v>12693</v>
      </c>
      <c r="RLD14" s="137" t="s">
        <v>12694</v>
      </c>
      <c r="RLE14" s="137" t="s">
        <v>12695</v>
      </c>
      <c r="RLF14" s="137" t="s">
        <v>12696</v>
      </c>
      <c r="RLG14" s="137" t="s">
        <v>12697</v>
      </c>
      <c r="RLH14" s="137" t="s">
        <v>12698</v>
      </c>
      <c r="RLI14" s="137" t="s">
        <v>12699</v>
      </c>
      <c r="RLJ14" s="137" t="s">
        <v>12700</v>
      </c>
      <c r="RLK14" s="137" t="s">
        <v>12701</v>
      </c>
      <c r="RLL14" s="137" t="s">
        <v>12702</v>
      </c>
      <c r="RLM14" s="137" t="s">
        <v>12703</v>
      </c>
      <c r="RLN14" s="137" t="s">
        <v>12704</v>
      </c>
      <c r="RLO14" s="137" t="s">
        <v>12705</v>
      </c>
      <c r="RLP14" s="137" t="s">
        <v>12706</v>
      </c>
      <c r="RLQ14" s="137" t="s">
        <v>12707</v>
      </c>
      <c r="RLR14" s="137" t="s">
        <v>12708</v>
      </c>
      <c r="RLS14" s="137" t="s">
        <v>12709</v>
      </c>
      <c r="RLT14" s="137" t="s">
        <v>12710</v>
      </c>
      <c r="RLU14" s="137" t="s">
        <v>12711</v>
      </c>
      <c r="RLV14" s="137" t="s">
        <v>12712</v>
      </c>
      <c r="RLW14" s="137" t="s">
        <v>12713</v>
      </c>
      <c r="RLX14" s="137" t="s">
        <v>12714</v>
      </c>
      <c r="RLY14" s="137" t="s">
        <v>12715</v>
      </c>
      <c r="RLZ14" s="137" t="s">
        <v>12716</v>
      </c>
      <c r="RMA14" s="137" t="s">
        <v>12717</v>
      </c>
      <c r="RMB14" s="137" t="s">
        <v>12718</v>
      </c>
      <c r="RMC14" s="137" t="s">
        <v>12719</v>
      </c>
      <c r="RMD14" s="137" t="s">
        <v>12720</v>
      </c>
      <c r="RME14" s="137" t="s">
        <v>12721</v>
      </c>
      <c r="RMF14" s="137" t="s">
        <v>12722</v>
      </c>
      <c r="RMG14" s="137" t="s">
        <v>12723</v>
      </c>
      <c r="RMH14" s="137" t="s">
        <v>12724</v>
      </c>
      <c r="RMI14" s="137" t="s">
        <v>12725</v>
      </c>
      <c r="RMJ14" s="137" t="s">
        <v>12726</v>
      </c>
      <c r="RMK14" s="137" t="s">
        <v>12727</v>
      </c>
      <c r="RML14" s="137" t="s">
        <v>12728</v>
      </c>
      <c r="RMM14" s="137" t="s">
        <v>12729</v>
      </c>
      <c r="RMN14" s="137" t="s">
        <v>12730</v>
      </c>
      <c r="RMO14" s="137" t="s">
        <v>12731</v>
      </c>
      <c r="RMP14" s="137" t="s">
        <v>12732</v>
      </c>
      <c r="RMQ14" s="137" t="s">
        <v>12733</v>
      </c>
      <c r="RMR14" s="137" t="s">
        <v>12734</v>
      </c>
      <c r="RMS14" s="137" t="s">
        <v>12735</v>
      </c>
      <c r="RMT14" s="137" t="s">
        <v>12736</v>
      </c>
      <c r="RMU14" s="137" t="s">
        <v>12737</v>
      </c>
      <c r="RMV14" s="137" t="s">
        <v>12738</v>
      </c>
      <c r="RMW14" s="137" t="s">
        <v>12739</v>
      </c>
      <c r="RMX14" s="137" t="s">
        <v>12740</v>
      </c>
      <c r="RMY14" s="137" t="s">
        <v>12741</v>
      </c>
      <c r="RMZ14" s="137" t="s">
        <v>12742</v>
      </c>
      <c r="RNA14" s="137" t="s">
        <v>12743</v>
      </c>
      <c r="RNB14" s="137" t="s">
        <v>12744</v>
      </c>
      <c r="RNC14" s="137" t="s">
        <v>12745</v>
      </c>
      <c r="RND14" s="137" t="s">
        <v>12746</v>
      </c>
      <c r="RNE14" s="137" t="s">
        <v>12747</v>
      </c>
      <c r="RNF14" s="137" t="s">
        <v>12748</v>
      </c>
      <c r="RNG14" s="137" t="s">
        <v>12749</v>
      </c>
      <c r="RNH14" s="137" t="s">
        <v>12750</v>
      </c>
      <c r="RNI14" s="137" t="s">
        <v>12751</v>
      </c>
      <c r="RNJ14" s="137" t="s">
        <v>12752</v>
      </c>
      <c r="RNK14" s="137" t="s">
        <v>12753</v>
      </c>
      <c r="RNL14" s="137" t="s">
        <v>12754</v>
      </c>
      <c r="RNM14" s="137" t="s">
        <v>12755</v>
      </c>
      <c r="RNN14" s="137" t="s">
        <v>12756</v>
      </c>
      <c r="RNO14" s="137" t="s">
        <v>12757</v>
      </c>
      <c r="RNP14" s="137" t="s">
        <v>12758</v>
      </c>
      <c r="RNQ14" s="137" t="s">
        <v>12759</v>
      </c>
      <c r="RNR14" s="137" t="s">
        <v>12760</v>
      </c>
      <c r="RNS14" s="137" t="s">
        <v>12761</v>
      </c>
      <c r="RNT14" s="137" t="s">
        <v>12762</v>
      </c>
      <c r="RNU14" s="137" t="s">
        <v>12763</v>
      </c>
      <c r="RNV14" s="137" t="s">
        <v>12764</v>
      </c>
      <c r="RNW14" s="137" t="s">
        <v>12765</v>
      </c>
      <c r="RNX14" s="137" t="s">
        <v>12766</v>
      </c>
      <c r="RNY14" s="137" t="s">
        <v>12767</v>
      </c>
      <c r="RNZ14" s="137" t="s">
        <v>12768</v>
      </c>
      <c r="ROA14" s="137" t="s">
        <v>12769</v>
      </c>
      <c r="ROB14" s="137" t="s">
        <v>12770</v>
      </c>
      <c r="ROC14" s="137" t="s">
        <v>12771</v>
      </c>
      <c r="ROD14" s="137" t="s">
        <v>12772</v>
      </c>
      <c r="ROE14" s="137" t="s">
        <v>12773</v>
      </c>
      <c r="ROF14" s="137" t="s">
        <v>12774</v>
      </c>
      <c r="ROG14" s="137" t="s">
        <v>12775</v>
      </c>
      <c r="ROH14" s="137" t="s">
        <v>12776</v>
      </c>
      <c r="ROI14" s="137" t="s">
        <v>12777</v>
      </c>
      <c r="ROJ14" s="137" t="s">
        <v>12778</v>
      </c>
      <c r="ROK14" s="137" t="s">
        <v>12779</v>
      </c>
      <c r="ROL14" s="137" t="s">
        <v>12780</v>
      </c>
      <c r="ROM14" s="137" t="s">
        <v>12781</v>
      </c>
      <c r="RON14" s="137" t="s">
        <v>12782</v>
      </c>
      <c r="ROO14" s="137" t="s">
        <v>12783</v>
      </c>
      <c r="ROP14" s="137" t="s">
        <v>12784</v>
      </c>
      <c r="ROQ14" s="137" t="s">
        <v>12785</v>
      </c>
      <c r="ROR14" s="137" t="s">
        <v>12786</v>
      </c>
      <c r="ROS14" s="137" t="s">
        <v>12787</v>
      </c>
      <c r="ROT14" s="137" t="s">
        <v>12788</v>
      </c>
      <c r="ROU14" s="137" t="s">
        <v>12789</v>
      </c>
      <c r="ROV14" s="137" t="s">
        <v>12790</v>
      </c>
      <c r="ROW14" s="137" t="s">
        <v>12791</v>
      </c>
      <c r="ROX14" s="137" t="s">
        <v>12792</v>
      </c>
      <c r="ROY14" s="137" t="s">
        <v>12793</v>
      </c>
      <c r="ROZ14" s="137" t="s">
        <v>12794</v>
      </c>
      <c r="RPA14" s="137" t="s">
        <v>12795</v>
      </c>
      <c r="RPB14" s="137" t="s">
        <v>12796</v>
      </c>
      <c r="RPC14" s="137" t="s">
        <v>12797</v>
      </c>
      <c r="RPD14" s="137" t="s">
        <v>12798</v>
      </c>
      <c r="RPE14" s="137" t="s">
        <v>12799</v>
      </c>
      <c r="RPF14" s="137" t="s">
        <v>12800</v>
      </c>
      <c r="RPG14" s="137" t="s">
        <v>12801</v>
      </c>
      <c r="RPH14" s="137" t="s">
        <v>12802</v>
      </c>
      <c r="RPI14" s="137" t="s">
        <v>12803</v>
      </c>
      <c r="RPJ14" s="137" t="s">
        <v>12804</v>
      </c>
      <c r="RPK14" s="137" t="s">
        <v>12805</v>
      </c>
      <c r="RPL14" s="137" t="s">
        <v>12806</v>
      </c>
      <c r="RPM14" s="137" t="s">
        <v>12807</v>
      </c>
      <c r="RPN14" s="137" t="s">
        <v>12808</v>
      </c>
      <c r="RPO14" s="137" t="s">
        <v>12809</v>
      </c>
      <c r="RPP14" s="137" t="s">
        <v>12810</v>
      </c>
      <c r="RPQ14" s="137" t="s">
        <v>12811</v>
      </c>
      <c r="RPR14" s="137" t="s">
        <v>12812</v>
      </c>
      <c r="RPS14" s="137" t="s">
        <v>12813</v>
      </c>
      <c r="RPT14" s="137" t="s">
        <v>12814</v>
      </c>
      <c r="RPU14" s="137" t="s">
        <v>12815</v>
      </c>
      <c r="RPV14" s="137" t="s">
        <v>12816</v>
      </c>
      <c r="RPW14" s="137" t="s">
        <v>12817</v>
      </c>
      <c r="RPX14" s="137" t="s">
        <v>12818</v>
      </c>
      <c r="RPY14" s="137" t="s">
        <v>12819</v>
      </c>
      <c r="RPZ14" s="137" t="s">
        <v>12820</v>
      </c>
      <c r="RQA14" s="137" t="s">
        <v>12821</v>
      </c>
      <c r="RQB14" s="137" t="s">
        <v>12822</v>
      </c>
      <c r="RQC14" s="137" t="s">
        <v>12823</v>
      </c>
      <c r="RQD14" s="137" t="s">
        <v>12824</v>
      </c>
      <c r="RQE14" s="137" t="s">
        <v>12825</v>
      </c>
      <c r="RQF14" s="137" t="s">
        <v>12826</v>
      </c>
      <c r="RQG14" s="137" t="s">
        <v>12827</v>
      </c>
      <c r="RQH14" s="137" t="s">
        <v>12828</v>
      </c>
      <c r="RQI14" s="137" t="s">
        <v>12829</v>
      </c>
      <c r="RQJ14" s="137" t="s">
        <v>12830</v>
      </c>
      <c r="RQK14" s="137" t="s">
        <v>12831</v>
      </c>
      <c r="RQL14" s="137" t="s">
        <v>12832</v>
      </c>
      <c r="RQM14" s="137" t="s">
        <v>12833</v>
      </c>
      <c r="RQN14" s="137" t="s">
        <v>12834</v>
      </c>
      <c r="RQO14" s="137" t="s">
        <v>12835</v>
      </c>
      <c r="RQP14" s="137" t="s">
        <v>12836</v>
      </c>
      <c r="RQQ14" s="137" t="s">
        <v>12837</v>
      </c>
      <c r="RQR14" s="137" t="s">
        <v>12838</v>
      </c>
      <c r="RQS14" s="137" t="s">
        <v>12839</v>
      </c>
      <c r="RQT14" s="137" t="s">
        <v>12840</v>
      </c>
      <c r="RQU14" s="137" t="s">
        <v>12841</v>
      </c>
      <c r="RQV14" s="137" t="s">
        <v>12842</v>
      </c>
      <c r="RQW14" s="137" t="s">
        <v>12843</v>
      </c>
      <c r="RQX14" s="137" t="s">
        <v>12844</v>
      </c>
      <c r="RQY14" s="137" t="s">
        <v>12845</v>
      </c>
      <c r="RQZ14" s="137" t="s">
        <v>12846</v>
      </c>
      <c r="RRA14" s="137" t="s">
        <v>12847</v>
      </c>
      <c r="RRB14" s="137" t="s">
        <v>12848</v>
      </c>
      <c r="RRC14" s="137" t="s">
        <v>12849</v>
      </c>
      <c r="RRD14" s="137" t="s">
        <v>12850</v>
      </c>
      <c r="RRE14" s="137" t="s">
        <v>12851</v>
      </c>
      <c r="RRF14" s="137" t="s">
        <v>12852</v>
      </c>
      <c r="RRG14" s="137" t="s">
        <v>12853</v>
      </c>
      <c r="RRH14" s="137" t="s">
        <v>12854</v>
      </c>
      <c r="RRI14" s="137" t="s">
        <v>12855</v>
      </c>
      <c r="RRJ14" s="137" t="s">
        <v>12856</v>
      </c>
      <c r="RRK14" s="137" t="s">
        <v>12857</v>
      </c>
      <c r="RRL14" s="137" t="s">
        <v>12858</v>
      </c>
      <c r="RRM14" s="137" t="s">
        <v>12859</v>
      </c>
      <c r="RRN14" s="137" t="s">
        <v>12860</v>
      </c>
      <c r="RRO14" s="137" t="s">
        <v>12861</v>
      </c>
      <c r="RRP14" s="137" t="s">
        <v>12862</v>
      </c>
      <c r="RRQ14" s="137" t="s">
        <v>12863</v>
      </c>
      <c r="RRR14" s="137" t="s">
        <v>12864</v>
      </c>
      <c r="RRS14" s="137" t="s">
        <v>12865</v>
      </c>
      <c r="RRT14" s="137" t="s">
        <v>12866</v>
      </c>
      <c r="RRU14" s="137" t="s">
        <v>12867</v>
      </c>
      <c r="RRV14" s="137" t="s">
        <v>12868</v>
      </c>
      <c r="RRW14" s="137" t="s">
        <v>12869</v>
      </c>
      <c r="RRX14" s="137" t="s">
        <v>12870</v>
      </c>
      <c r="RRY14" s="137" t="s">
        <v>12871</v>
      </c>
      <c r="RRZ14" s="137" t="s">
        <v>12872</v>
      </c>
      <c r="RSA14" s="137" t="s">
        <v>12873</v>
      </c>
      <c r="RSB14" s="137" t="s">
        <v>12874</v>
      </c>
      <c r="RSC14" s="137" t="s">
        <v>12875</v>
      </c>
      <c r="RSD14" s="137" t="s">
        <v>12876</v>
      </c>
      <c r="RSE14" s="137" t="s">
        <v>12877</v>
      </c>
      <c r="RSF14" s="137" t="s">
        <v>12878</v>
      </c>
      <c r="RSG14" s="137" t="s">
        <v>12879</v>
      </c>
      <c r="RSH14" s="137" t="s">
        <v>12880</v>
      </c>
      <c r="RSI14" s="137" t="s">
        <v>12881</v>
      </c>
      <c r="RSJ14" s="137" t="s">
        <v>12882</v>
      </c>
      <c r="RSK14" s="137" t="s">
        <v>12883</v>
      </c>
      <c r="RSL14" s="137" t="s">
        <v>12884</v>
      </c>
      <c r="RSM14" s="137" t="s">
        <v>12885</v>
      </c>
      <c r="RSN14" s="137" t="s">
        <v>12886</v>
      </c>
      <c r="RSO14" s="137" t="s">
        <v>12887</v>
      </c>
      <c r="RSP14" s="137" t="s">
        <v>12888</v>
      </c>
      <c r="RSQ14" s="137" t="s">
        <v>12889</v>
      </c>
      <c r="RSR14" s="137" t="s">
        <v>12890</v>
      </c>
      <c r="RSS14" s="137" t="s">
        <v>12891</v>
      </c>
      <c r="RST14" s="137" t="s">
        <v>12892</v>
      </c>
      <c r="RSU14" s="137" t="s">
        <v>12893</v>
      </c>
      <c r="RSV14" s="137" t="s">
        <v>12894</v>
      </c>
      <c r="RSW14" s="137" t="s">
        <v>12895</v>
      </c>
      <c r="RSX14" s="137" t="s">
        <v>12896</v>
      </c>
      <c r="RSY14" s="137" t="s">
        <v>12897</v>
      </c>
      <c r="RSZ14" s="137" t="s">
        <v>12898</v>
      </c>
      <c r="RTA14" s="137" t="s">
        <v>12899</v>
      </c>
      <c r="RTB14" s="137" t="s">
        <v>12900</v>
      </c>
      <c r="RTC14" s="137" t="s">
        <v>12901</v>
      </c>
      <c r="RTD14" s="137" t="s">
        <v>12902</v>
      </c>
      <c r="RTE14" s="137" t="s">
        <v>12903</v>
      </c>
      <c r="RTF14" s="137" t="s">
        <v>12904</v>
      </c>
      <c r="RTG14" s="137" t="s">
        <v>12905</v>
      </c>
      <c r="RTH14" s="137" t="s">
        <v>12906</v>
      </c>
      <c r="RTI14" s="137" t="s">
        <v>12907</v>
      </c>
      <c r="RTJ14" s="137" t="s">
        <v>12908</v>
      </c>
      <c r="RTK14" s="137" t="s">
        <v>12909</v>
      </c>
      <c r="RTL14" s="137" t="s">
        <v>12910</v>
      </c>
      <c r="RTM14" s="137" t="s">
        <v>12911</v>
      </c>
      <c r="RTN14" s="137" t="s">
        <v>12912</v>
      </c>
      <c r="RTO14" s="137" t="s">
        <v>12913</v>
      </c>
      <c r="RTP14" s="137" t="s">
        <v>12914</v>
      </c>
      <c r="RTQ14" s="137" t="s">
        <v>12915</v>
      </c>
      <c r="RTR14" s="137" t="s">
        <v>12916</v>
      </c>
      <c r="RTS14" s="137" t="s">
        <v>12917</v>
      </c>
      <c r="RTT14" s="137" t="s">
        <v>12918</v>
      </c>
      <c r="RTU14" s="137" t="s">
        <v>12919</v>
      </c>
      <c r="RTV14" s="137" t="s">
        <v>12920</v>
      </c>
      <c r="RTW14" s="137" t="s">
        <v>12921</v>
      </c>
      <c r="RTX14" s="137" t="s">
        <v>12922</v>
      </c>
      <c r="RTY14" s="137" t="s">
        <v>12923</v>
      </c>
      <c r="RTZ14" s="137" t="s">
        <v>12924</v>
      </c>
      <c r="RUA14" s="137" t="s">
        <v>12925</v>
      </c>
      <c r="RUB14" s="137" t="s">
        <v>12926</v>
      </c>
      <c r="RUC14" s="137" t="s">
        <v>12927</v>
      </c>
      <c r="RUD14" s="137" t="s">
        <v>12928</v>
      </c>
      <c r="RUE14" s="137" t="s">
        <v>12929</v>
      </c>
      <c r="RUF14" s="137" t="s">
        <v>12930</v>
      </c>
      <c r="RUG14" s="137" t="s">
        <v>12931</v>
      </c>
      <c r="RUH14" s="137" t="s">
        <v>12932</v>
      </c>
      <c r="RUI14" s="137" t="s">
        <v>12933</v>
      </c>
      <c r="RUJ14" s="137" t="s">
        <v>12934</v>
      </c>
      <c r="RUK14" s="137" t="s">
        <v>12935</v>
      </c>
      <c r="RUL14" s="137" t="s">
        <v>12936</v>
      </c>
      <c r="RUM14" s="137" t="s">
        <v>12937</v>
      </c>
      <c r="RUN14" s="137" t="s">
        <v>12938</v>
      </c>
      <c r="RUO14" s="137" t="s">
        <v>12939</v>
      </c>
      <c r="RUP14" s="137" t="s">
        <v>12940</v>
      </c>
      <c r="RUQ14" s="137" t="s">
        <v>12941</v>
      </c>
      <c r="RUR14" s="137" t="s">
        <v>12942</v>
      </c>
      <c r="RUS14" s="137" t="s">
        <v>12943</v>
      </c>
      <c r="RUT14" s="137" t="s">
        <v>12944</v>
      </c>
      <c r="RUU14" s="137" t="s">
        <v>12945</v>
      </c>
      <c r="RUV14" s="137" t="s">
        <v>12946</v>
      </c>
      <c r="RUW14" s="137" t="s">
        <v>12947</v>
      </c>
      <c r="RUX14" s="137" t="s">
        <v>12948</v>
      </c>
      <c r="RUY14" s="137" t="s">
        <v>12949</v>
      </c>
      <c r="RUZ14" s="137" t="s">
        <v>12950</v>
      </c>
      <c r="RVA14" s="137" t="s">
        <v>12951</v>
      </c>
      <c r="RVB14" s="137" t="s">
        <v>12952</v>
      </c>
      <c r="RVC14" s="137" t="s">
        <v>12953</v>
      </c>
      <c r="RVD14" s="137" t="s">
        <v>12954</v>
      </c>
      <c r="RVE14" s="137" t="s">
        <v>12955</v>
      </c>
      <c r="RVF14" s="137" t="s">
        <v>12956</v>
      </c>
      <c r="RVG14" s="137" t="s">
        <v>12957</v>
      </c>
      <c r="RVH14" s="137" t="s">
        <v>12958</v>
      </c>
      <c r="RVI14" s="137" t="s">
        <v>12959</v>
      </c>
      <c r="RVJ14" s="137" t="s">
        <v>12960</v>
      </c>
      <c r="RVK14" s="137" t="s">
        <v>12961</v>
      </c>
      <c r="RVL14" s="137" t="s">
        <v>12962</v>
      </c>
      <c r="RVM14" s="137" t="s">
        <v>12963</v>
      </c>
      <c r="RVN14" s="137" t="s">
        <v>12964</v>
      </c>
      <c r="RVO14" s="137" t="s">
        <v>12965</v>
      </c>
      <c r="RVP14" s="137" t="s">
        <v>12966</v>
      </c>
      <c r="RVQ14" s="137" t="s">
        <v>12967</v>
      </c>
      <c r="RVR14" s="137" t="s">
        <v>12968</v>
      </c>
      <c r="RVS14" s="137" t="s">
        <v>12969</v>
      </c>
      <c r="RVT14" s="137" t="s">
        <v>12970</v>
      </c>
      <c r="RVU14" s="137" t="s">
        <v>12971</v>
      </c>
      <c r="RVV14" s="137" t="s">
        <v>12972</v>
      </c>
      <c r="RVW14" s="137" t="s">
        <v>12973</v>
      </c>
      <c r="RVX14" s="137" t="s">
        <v>12974</v>
      </c>
      <c r="RVY14" s="137" t="s">
        <v>12975</v>
      </c>
      <c r="RVZ14" s="137" t="s">
        <v>12976</v>
      </c>
      <c r="RWA14" s="137" t="s">
        <v>12977</v>
      </c>
      <c r="RWB14" s="137" t="s">
        <v>12978</v>
      </c>
      <c r="RWC14" s="137" t="s">
        <v>12979</v>
      </c>
      <c r="RWD14" s="137" t="s">
        <v>12980</v>
      </c>
      <c r="RWE14" s="137" t="s">
        <v>12981</v>
      </c>
      <c r="RWF14" s="137" t="s">
        <v>12982</v>
      </c>
      <c r="RWG14" s="137" t="s">
        <v>12983</v>
      </c>
      <c r="RWH14" s="137" t="s">
        <v>12984</v>
      </c>
      <c r="RWI14" s="137" t="s">
        <v>12985</v>
      </c>
      <c r="RWJ14" s="137" t="s">
        <v>12986</v>
      </c>
      <c r="RWK14" s="137" t="s">
        <v>12987</v>
      </c>
      <c r="RWL14" s="137" t="s">
        <v>12988</v>
      </c>
      <c r="RWM14" s="137" t="s">
        <v>12989</v>
      </c>
      <c r="RWN14" s="137" t="s">
        <v>12990</v>
      </c>
      <c r="RWO14" s="137" t="s">
        <v>12991</v>
      </c>
      <c r="RWP14" s="137" t="s">
        <v>12992</v>
      </c>
      <c r="RWQ14" s="137" t="s">
        <v>12993</v>
      </c>
      <c r="RWR14" s="137" t="s">
        <v>12994</v>
      </c>
      <c r="RWS14" s="137" t="s">
        <v>12995</v>
      </c>
      <c r="RWT14" s="137" t="s">
        <v>12996</v>
      </c>
      <c r="RWU14" s="137" t="s">
        <v>12997</v>
      </c>
      <c r="RWV14" s="137" t="s">
        <v>12998</v>
      </c>
      <c r="RWW14" s="137" t="s">
        <v>12999</v>
      </c>
      <c r="RWX14" s="137" t="s">
        <v>13000</v>
      </c>
      <c r="RWY14" s="137" t="s">
        <v>13001</v>
      </c>
      <c r="RWZ14" s="137" t="s">
        <v>13002</v>
      </c>
      <c r="RXA14" s="137" t="s">
        <v>13003</v>
      </c>
      <c r="RXB14" s="137" t="s">
        <v>13004</v>
      </c>
      <c r="RXC14" s="137" t="s">
        <v>13005</v>
      </c>
      <c r="RXD14" s="137" t="s">
        <v>13006</v>
      </c>
      <c r="RXE14" s="137" t="s">
        <v>13007</v>
      </c>
      <c r="RXF14" s="137" t="s">
        <v>13008</v>
      </c>
      <c r="RXG14" s="137" t="s">
        <v>13009</v>
      </c>
      <c r="RXH14" s="137" t="s">
        <v>13010</v>
      </c>
      <c r="RXI14" s="137" t="s">
        <v>13011</v>
      </c>
      <c r="RXJ14" s="137" t="s">
        <v>13012</v>
      </c>
      <c r="RXK14" s="137" t="s">
        <v>13013</v>
      </c>
      <c r="RXL14" s="137" t="s">
        <v>13014</v>
      </c>
      <c r="RXM14" s="137" t="s">
        <v>13015</v>
      </c>
      <c r="RXN14" s="137" t="s">
        <v>13016</v>
      </c>
      <c r="RXO14" s="137" t="s">
        <v>13017</v>
      </c>
      <c r="RXP14" s="137" t="s">
        <v>13018</v>
      </c>
      <c r="RXQ14" s="137" t="s">
        <v>13019</v>
      </c>
      <c r="RXR14" s="137" t="s">
        <v>13020</v>
      </c>
      <c r="RXS14" s="137" t="s">
        <v>13021</v>
      </c>
      <c r="RXT14" s="137" t="s">
        <v>13022</v>
      </c>
      <c r="RXU14" s="137" t="s">
        <v>13023</v>
      </c>
      <c r="RXV14" s="137" t="s">
        <v>13024</v>
      </c>
      <c r="RXW14" s="137" t="s">
        <v>13025</v>
      </c>
      <c r="RXX14" s="137" t="s">
        <v>13026</v>
      </c>
      <c r="RXY14" s="137" t="s">
        <v>13027</v>
      </c>
      <c r="RXZ14" s="137" t="s">
        <v>13028</v>
      </c>
      <c r="RYA14" s="137" t="s">
        <v>13029</v>
      </c>
      <c r="RYB14" s="137" t="s">
        <v>13030</v>
      </c>
      <c r="RYC14" s="137" t="s">
        <v>13031</v>
      </c>
      <c r="RYD14" s="137" t="s">
        <v>13032</v>
      </c>
      <c r="RYE14" s="137" t="s">
        <v>13033</v>
      </c>
      <c r="RYF14" s="137" t="s">
        <v>13034</v>
      </c>
      <c r="RYG14" s="137" t="s">
        <v>13035</v>
      </c>
      <c r="RYH14" s="137" t="s">
        <v>13036</v>
      </c>
      <c r="RYI14" s="137" t="s">
        <v>13037</v>
      </c>
      <c r="RYJ14" s="137" t="s">
        <v>13038</v>
      </c>
      <c r="RYK14" s="137" t="s">
        <v>13039</v>
      </c>
      <c r="RYL14" s="137" t="s">
        <v>13040</v>
      </c>
      <c r="RYM14" s="137" t="s">
        <v>13041</v>
      </c>
      <c r="RYN14" s="137" t="s">
        <v>13042</v>
      </c>
      <c r="RYO14" s="137" t="s">
        <v>13043</v>
      </c>
      <c r="RYP14" s="137" t="s">
        <v>13044</v>
      </c>
      <c r="RYQ14" s="137" t="s">
        <v>13045</v>
      </c>
      <c r="RYR14" s="137" t="s">
        <v>13046</v>
      </c>
      <c r="RYS14" s="137" t="s">
        <v>13047</v>
      </c>
      <c r="RYT14" s="137" t="s">
        <v>13048</v>
      </c>
      <c r="RYU14" s="137" t="s">
        <v>13049</v>
      </c>
      <c r="RYV14" s="137" t="s">
        <v>13050</v>
      </c>
      <c r="RYW14" s="137" t="s">
        <v>13051</v>
      </c>
      <c r="RYX14" s="137" t="s">
        <v>13052</v>
      </c>
      <c r="RYY14" s="137" t="s">
        <v>13053</v>
      </c>
      <c r="RYZ14" s="137" t="s">
        <v>13054</v>
      </c>
      <c r="RZA14" s="137" t="s">
        <v>13055</v>
      </c>
      <c r="RZB14" s="137" t="s">
        <v>13056</v>
      </c>
      <c r="RZC14" s="137" t="s">
        <v>13057</v>
      </c>
      <c r="RZD14" s="137" t="s">
        <v>13058</v>
      </c>
      <c r="RZE14" s="137" t="s">
        <v>13059</v>
      </c>
      <c r="RZF14" s="137" t="s">
        <v>13060</v>
      </c>
      <c r="RZG14" s="137" t="s">
        <v>13061</v>
      </c>
      <c r="RZH14" s="137" t="s">
        <v>13062</v>
      </c>
      <c r="RZI14" s="137" t="s">
        <v>13063</v>
      </c>
      <c r="RZJ14" s="137" t="s">
        <v>13064</v>
      </c>
      <c r="RZK14" s="137" t="s">
        <v>13065</v>
      </c>
      <c r="RZL14" s="137" t="s">
        <v>13066</v>
      </c>
      <c r="RZM14" s="137" t="s">
        <v>13067</v>
      </c>
      <c r="RZN14" s="137" t="s">
        <v>13068</v>
      </c>
      <c r="RZO14" s="137" t="s">
        <v>13069</v>
      </c>
      <c r="RZP14" s="137" t="s">
        <v>13070</v>
      </c>
      <c r="RZQ14" s="137" t="s">
        <v>13071</v>
      </c>
      <c r="RZR14" s="137" t="s">
        <v>13072</v>
      </c>
      <c r="RZS14" s="137" t="s">
        <v>13073</v>
      </c>
      <c r="RZT14" s="137" t="s">
        <v>13074</v>
      </c>
      <c r="RZU14" s="137" t="s">
        <v>13075</v>
      </c>
      <c r="RZV14" s="137" t="s">
        <v>13076</v>
      </c>
      <c r="RZW14" s="137" t="s">
        <v>13077</v>
      </c>
      <c r="RZX14" s="137" t="s">
        <v>13078</v>
      </c>
      <c r="RZY14" s="137" t="s">
        <v>13079</v>
      </c>
      <c r="RZZ14" s="137" t="s">
        <v>13080</v>
      </c>
      <c r="SAA14" s="137" t="s">
        <v>13081</v>
      </c>
      <c r="SAB14" s="137" t="s">
        <v>13082</v>
      </c>
      <c r="SAC14" s="137" t="s">
        <v>13083</v>
      </c>
      <c r="SAD14" s="137" t="s">
        <v>13084</v>
      </c>
      <c r="SAE14" s="137" t="s">
        <v>13085</v>
      </c>
      <c r="SAF14" s="137" t="s">
        <v>13086</v>
      </c>
      <c r="SAG14" s="137" t="s">
        <v>13087</v>
      </c>
      <c r="SAH14" s="137" t="s">
        <v>13088</v>
      </c>
      <c r="SAI14" s="137" t="s">
        <v>13089</v>
      </c>
      <c r="SAJ14" s="137" t="s">
        <v>13090</v>
      </c>
      <c r="SAK14" s="137" t="s">
        <v>13091</v>
      </c>
      <c r="SAL14" s="137" t="s">
        <v>13092</v>
      </c>
      <c r="SAM14" s="137" t="s">
        <v>13093</v>
      </c>
      <c r="SAN14" s="137" t="s">
        <v>13094</v>
      </c>
      <c r="SAO14" s="137" t="s">
        <v>13095</v>
      </c>
      <c r="SAP14" s="137" t="s">
        <v>13096</v>
      </c>
      <c r="SAQ14" s="137" t="s">
        <v>13097</v>
      </c>
      <c r="SAR14" s="137" t="s">
        <v>13098</v>
      </c>
      <c r="SAS14" s="137" t="s">
        <v>13099</v>
      </c>
      <c r="SAT14" s="137" t="s">
        <v>13100</v>
      </c>
      <c r="SAU14" s="137" t="s">
        <v>13101</v>
      </c>
      <c r="SAV14" s="137" t="s">
        <v>13102</v>
      </c>
      <c r="SAW14" s="137" t="s">
        <v>13103</v>
      </c>
      <c r="SAX14" s="137" t="s">
        <v>13104</v>
      </c>
      <c r="SAY14" s="137" t="s">
        <v>13105</v>
      </c>
      <c r="SAZ14" s="137" t="s">
        <v>13106</v>
      </c>
      <c r="SBA14" s="137" t="s">
        <v>13107</v>
      </c>
      <c r="SBB14" s="137" t="s">
        <v>13108</v>
      </c>
      <c r="SBC14" s="137" t="s">
        <v>13109</v>
      </c>
      <c r="SBD14" s="137" t="s">
        <v>13110</v>
      </c>
      <c r="SBE14" s="137" t="s">
        <v>13111</v>
      </c>
      <c r="SBF14" s="137" t="s">
        <v>13112</v>
      </c>
      <c r="SBG14" s="137" t="s">
        <v>13113</v>
      </c>
      <c r="SBH14" s="137" t="s">
        <v>13114</v>
      </c>
      <c r="SBI14" s="137" t="s">
        <v>13115</v>
      </c>
      <c r="SBJ14" s="137" t="s">
        <v>13116</v>
      </c>
      <c r="SBK14" s="137" t="s">
        <v>13117</v>
      </c>
      <c r="SBL14" s="137" t="s">
        <v>13118</v>
      </c>
      <c r="SBM14" s="137" t="s">
        <v>13119</v>
      </c>
      <c r="SBN14" s="137" t="s">
        <v>13120</v>
      </c>
      <c r="SBO14" s="137" t="s">
        <v>13121</v>
      </c>
      <c r="SBP14" s="137" t="s">
        <v>13122</v>
      </c>
      <c r="SBQ14" s="137" t="s">
        <v>13123</v>
      </c>
      <c r="SBR14" s="137" t="s">
        <v>13124</v>
      </c>
      <c r="SBS14" s="137" t="s">
        <v>13125</v>
      </c>
      <c r="SBT14" s="137" t="s">
        <v>13126</v>
      </c>
      <c r="SBU14" s="137" t="s">
        <v>13127</v>
      </c>
      <c r="SBV14" s="137" t="s">
        <v>13128</v>
      </c>
      <c r="SBW14" s="137" t="s">
        <v>13129</v>
      </c>
      <c r="SBX14" s="137" t="s">
        <v>13130</v>
      </c>
      <c r="SBY14" s="137" t="s">
        <v>13131</v>
      </c>
      <c r="SBZ14" s="137" t="s">
        <v>13132</v>
      </c>
      <c r="SCA14" s="137" t="s">
        <v>13133</v>
      </c>
      <c r="SCB14" s="137" t="s">
        <v>13134</v>
      </c>
      <c r="SCC14" s="137" t="s">
        <v>13135</v>
      </c>
      <c r="SCD14" s="137" t="s">
        <v>13136</v>
      </c>
      <c r="SCE14" s="137" t="s">
        <v>13137</v>
      </c>
      <c r="SCF14" s="137" t="s">
        <v>13138</v>
      </c>
      <c r="SCG14" s="137" t="s">
        <v>13139</v>
      </c>
      <c r="SCH14" s="137" t="s">
        <v>13140</v>
      </c>
      <c r="SCI14" s="137" t="s">
        <v>13141</v>
      </c>
      <c r="SCJ14" s="137" t="s">
        <v>13142</v>
      </c>
      <c r="SCK14" s="137" t="s">
        <v>13143</v>
      </c>
      <c r="SCL14" s="137" t="s">
        <v>13144</v>
      </c>
      <c r="SCM14" s="137" t="s">
        <v>13145</v>
      </c>
      <c r="SCN14" s="137" t="s">
        <v>13146</v>
      </c>
      <c r="SCO14" s="137" t="s">
        <v>13147</v>
      </c>
      <c r="SCP14" s="137" t="s">
        <v>13148</v>
      </c>
      <c r="SCQ14" s="137" t="s">
        <v>13149</v>
      </c>
      <c r="SCR14" s="137" t="s">
        <v>13150</v>
      </c>
      <c r="SCS14" s="137" t="s">
        <v>13151</v>
      </c>
      <c r="SCT14" s="137" t="s">
        <v>13152</v>
      </c>
      <c r="SCU14" s="137" t="s">
        <v>13153</v>
      </c>
      <c r="SCV14" s="137" t="s">
        <v>13154</v>
      </c>
      <c r="SCW14" s="137" t="s">
        <v>13155</v>
      </c>
      <c r="SCX14" s="137" t="s">
        <v>13156</v>
      </c>
      <c r="SCY14" s="137" t="s">
        <v>13157</v>
      </c>
      <c r="SCZ14" s="137" t="s">
        <v>13158</v>
      </c>
      <c r="SDA14" s="137" t="s">
        <v>13159</v>
      </c>
      <c r="SDB14" s="137" t="s">
        <v>13160</v>
      </c>
      <c r="SDC14" s="137" t="s">
        <v>13161</v>
      </c>
      <c r="SDD14" s="137" t="s">
        <v>13162</v>
      </c>
      <c r="SDE14" s="137" t="s">
        <v>13163</v>
      </c>
      <c r="SDF14" s="137" t="s">
        <v>13164</v>
      </c>
      <c r="SDG14" s="137" t="s">
        <v>13165</v>
      </c>
      <c r="SDH14" s="137" t="s">
        <v>13166</v>
      </c>
      <c r="SDI14" s="137" t="s">
        <v>13167</v>
      </c>
      <c r="SDJ14" s="137" t="s">
        <v>13168</v>
      </c>
      <c r="SDK14" s="137" t="s">
        <v>13169</v>
      </c>
      <c r="SDL14" s="137" t="s">
        <v>13170</v>
      </c>
      <c r="SDM14" s="137" t="s">
        <v>13171</v>
      </c>
      <c r="SDN14" s="137" t="s">
        <v>13172</v>
      </c>
      <c r="SDO14" s="137" t="s">
        <v>13173</v>
      </c>
      <c r="SDP14" s="137" t="s">
        <v>13174</v>
      </c>
      <c r="SDQ14" s="137" t="s">
        <v>13175</v>
      </c>
      <c r="SDR14" s="137" t="s">
        <v>13176</v>
      </c>
      <c r="SDS14" s="137" t="s">
        <v>13177</v>
      </c>
      <c r="SDT14" s="137" t="s">
        <v>13178</v>
      </c>
      <c r="SDU14" s="137" t="s">
        <v>13179</v>
      </c>
      <c r="SDV14" s="137" t="s">
        <v>13180</v>
      </c>
      <c r="SDW14" s="137" t="s">
        <v>13181</v>
      </c>
      <c r="SDX14" s="137" t="s">
        <v>13182</v>
      </c>
      <c r="SDY14" s="137" t="s">
        <v>13183</v>
      </c>
      <c r="SDZ14" s="137" t="s">
        <v>13184</v>
      </c>
      <c r="SEA14" s="137" t="s">
        <v>13185</v>
      </c>
      <c r="SEB14" s="137" t="s">
        <v>13186</v>
      </c>
      <c r="SEC14" s="137" t="s">
        <v>13187</v>
      </c>
      <c r="SED14" s="137" t="s">
        <v>13188</v>
      </c>
      <c r="SEE14" s="137" t="s">
        <v>13189</v>
      </c>
      <c r="SEF14" s="137" t="s">
        <v>13190</v>
      </c>
      <c r="SEG14" s="137" t="s">
        <v>13191</v>
      </c>
      <c r="SEH14" s="137" t="s">
        <v>13192</v>
      </c>
      <c r="SEI14" s="137" t="s">
        <v>13193</v>
      </c>
      <c r="SEJ14" s="137" t="s">
        <v>13194</v>
      </c>
      <c r="SEK14" s="137" t="s">
        <v>13195</v>
      </c>
      <c r="SEL14" s="137" t="s">
        <v>13196</v>
      </c>
      <c r="SEM14" s="137" t="s">
        <v>13197</v>
      </c>
      <c r="SEN14" s="137" t="s">
        <v>13198</v>
      </c>
      <c r="SEO14" s="137" t="s">
        <v>13199</v>
      </c>
      <c r="SEP14" s="137" t="s">
        <v>13200</v>
      </c>
      <c r="SEQ14" s="137" t="s">
        <v>13201</v>
      </c>
      <c r="SER14" s="137" t="s">
        <v>13202</v>
      </c>
      <c r="SES14" s="137" t="s">
        <v>13203</v>
      </c>
      <c r="SET14" s="137" t="s">
        <v>13204</v>
      </c>
      <c r="SEU14" s="137" t="s">
        <v>13205</v>
      </c>
      <c r="SEV14" s="137" t="s">
        <v>13206</v>
      </c>
      <c r="SEW14" s="137" t="s">
        <v>13207</v>
      </c>
      <c r="SEX14" s="137" t="s">
        <v>13208</v>
      </c>
      <c r="SEY14" s="137" t="s">
        <v>13209</v>
      </c>
      <c r="SEZ14" s="137" t="s">
        <v>13210</v>
      </c>
      <c r="SFA14" s="137" t="s">
        <v>13211</v>
      </c>
      <c r="SFB14" s="137" t="s">
        <v>13212</v>
      </c>
      <c r="SFC14" s="137" t="s">
        <v>13213</v>
      </c>
      <c r="SFD14" s="137" t="s">
        <v>13214</v>
      </c>
      <c r="SFE14" s="137" t="s">
        <v>13215</v>
      </c>
      <c r="SFF14" s="137" t="s">
        <v>13216</v>
      </c>
      <c r="SFG14" s="137" t="s">
        <v>13217</v>
      </c>
      <c r="SFH14" s="137" t="s">
        <v>13218</v>
      </c>
      <c r="SFI14" s="137" t="s">
        <v>13219</v>
      </c>
      <c r="SFJ14" s="137" t="s">
        <v>13220</v>
      </c>
      <c r="SFK14" s="137" t="s">
        <v>13221</v>
      </c>
      <c r="SFL14" s="137" t="s">
        <v>13222</v>
      </c>
      <c r="SFM14" s="137" t="s">
        <v>13223</v>
      </c>
      <c r="SFN14" s="137" t="s">
        <v>13224</v>
      </c>
      <c r="SFO14" s="137" t="s">
        <v>13225</v>
      </c>
      <c r="SFP14" s="137" t="s">
        <v>13226</v>
      </c>
      <c r="SFQ14" s="137" t="s">
        <v>13227</v>
      </c>
      <c r="SFR14" s="137" t="s">
        <v>13228</v>
      </c>
      <c r="SFS14" s="137" t="s">
        <v>13229</v>
      </c>
      <c r="SFT14" s="137" t="s">
        <v>13230</v>
      </c>
      <c r="SFU14" s="137" t="s">
        <v>13231</v>
      </c>
      <c r="SFV14" s="137" t="s">
        <v>13232</v>
      </c>
      <c r="SFW14" s="137" t="s">
        <v>13233</v>
      </c>
      <c r="SFX14" s="137" t="s">
        <v>13234</v>
      </c>
      <c r="SFY14" s="137" t="s">
        <v>13235</v>
      </c>
      <c r="SFZ14" s="137" t="s">
        <v>13236</v>
      </c>
      <c r="SGA14" s="137" t="s">
        <v>13237</v>
      </c>
      <c r="SGB14" s="137" t="s">
        <v>13238</v>
      </c>
      <c r="SGC14" s="137" t="s">
        <v>13239</v>
      </c>
      <c r="SGD14" s="137" t="s">
        <v>13240</v>
      </c>
      <c r="SGE14" s="137" t="s">
        <v>13241</v>
      </c>
      <c r="SGF14" s="137" t="s">
        <v>13242</v>
      </c>
      <c r="SGG14" s="137" t="s">
        <v>13243</v>
      </c>
      <c r="SGH14" s="137" t="s">
        <v>13244</v>
      </c>
      <c r="SGI14" s="137" t="s">
        <v>13245</v>
      </c>
      <c r="SGJ14" s="137" t="s">
        <v>13246</v>
      </c>
      <c r="SGK14" s="137" t="s">
        <v>13247</v>
      </c>
      <c r="SGL14" s="137" t="s">
        <v>13248</v>
      </c>
      <c r="SGM14" s="137" t="s">
        <v>13249</v>
      </c>
      <c r="SGN14" s="137" t="s">
        <v>13250</v>
      </c>
      <c r="SGO14" s="137" t="s">
        <v>13251</v>
      </c>
      <c r="SGP14" s="137" t="s">
        <v>13252</v>
      </c>
      <c r="SGQ14" s="137" t="s">
        <v>13253</v>
      </c>
      <c r="SGR14" s="137" t="s">
        <v>13254</v>
      </c>
      <c r="SGS14" s="137" t="s">
        <v>13255</v>
      </c>
      <c r="SGT14" s="137" t="s">
        <v>13256</v>
      </c>
      <c r="SGU14" s="137" t="s">
        <v>13257</v>
      </c>
      <c r="SGV14" s="137" t="s">
        <v>13258</v>
      </c>
      <c r="SGW14" s="137" t="s">
        <v>13259</v>
      </c>
      <c r="SGX14" s="137" t="s">
        <v>13260</v>
      </c>
      <c r="SGY14" s="137" t="s">
        <v>13261</v>
      </c>
      <c r="SGZ14" s="137" t="s">
        <v>13262</v>
      </c>
      <c r="SHA14" s="137" t="s">
        <v>13263</v>
      </c>
      <c r="SHB14" s="137" t="s">
        <v>13264</v>
      </c>
      <c r="SHC14" s="137" t="s">
        <v>13265</v>
      </c>
      <c r="SHD14" s="137" t="s">
        <v>13266</v>
      </c>
      <c r="SHE14" s="137" t="s">
        <v>13267</v>
      </c>
      <c r="SHF14" s="137" t="s">
        <v>13268</v>
      </c>
      <c r="SHG14" s="137" t="s">
        <v>13269</v>
      </c>
      <c r="SHH14" s="137" t="s">
        <v>13270</v>
      </c>
      <c r="SHI14" s="137" t="s">
        <v>13271</v>
      </c>
      <c r="SHJ14" s="137" t="s">
        <v>13272</v>
      </c>
      <c r="SHK14" s="137" t="s">
        <v>13273</v>
      </c>
      <c r="SHL14" s="137" t="s">
        <v>13274</v>
      </c>
      <c r="SHM14" s="137" t="s">
        <v>13275</v>
      </c>
      <c r="SHN14" s="137" t="s">
        <v>13276</v>
      </c>
      <c r="SHO14" s="137" t="s">
        <v>13277</v>
      </c>
      <c r="SHP14" s="137" t="s">
        <v>13278</v>
      </c>
      <c r="SHQ14" s="137" t="s">
        <v>13279</v>
      </c>
      <c r="SHR14" s="137" t="s">
        <v>13280</v>
      </c>
      <c r="SHS14" s="137" t="s">
        <v>13281</v>
      </c>
      <c r="SHT14" s="137" t="s">
        <v>13282</v>
      </c>
      <c r="SHU14" s="137" t="s">
        <v>13283</v>
      </c>
      <c r="SHV14" s="137" t="s">
        <v>13284</v>
      </c>
      <c r="SHW14" s="137" t="s">
        <v>13285</v>
      </c>
      <c r="SHX14" s="137" t="s">
        <v>13286</v>
      </c>
      <c r="SHY14" s="137" t="s">
        <v>13287</v>
      </c>
      <c r="SHZ14" s="137" t="s">
        <v>13288</v>
      </c>
      <c r="SIA14" s="137" t="s">
        <v>13289</v>
      </c>
      <c r="SIB14" s="137" t="s">
        <v>13290</v>
      </c>
      <c r="SIC14" s="137" t="s">
        <v>13291</v>
      </c>
      <c r="SID14" s="137" t="s">
        <v>13292</v>
      </c>
      <c r="SIE14" s="137" t="s">
        <v>13293</v>
      </c>
      <c r="SIF14" s="137" t="s">
        <v>13294</v>
      </c>
      <c r="SIG14" s="137" t="s">
        <v>13295</v>
      </c>
      <c r="SIH14" s="137" t="s">
        <v>13296</v>
      </c>
      <c r="SII14" s="137" t="s">
        <v>13297</v>
      </c>
      <c r="SIJ14" s="137" t="s">
        <v>13298</v>
      </c>
      <c r="SIK14" s="137" t="s">
        <v>13299</v>
      </c>
      <c r="SIL14" s="137" t="s">
        <v>13300</v>
      </c>
      <c r="SIM14" s="137" t="s">
        <v>13301</v>
      </c>
      <c r="SIN14" s="137" t="s">
        <v>13302</v>
      </c>
      <c r="SIO14" s="137" t="s">
        <v>13303</v>
      </c>
      <c r="SIP14" s="137" t="s">
        <v>13304</v>
      </c>
      <c r="SIQ14" s="137" t="s">
        <v>13305</v>
      </c>
      <c r="SIR14" s="137" t="s">
        <v>13306</v>
      </c>
      <c r="SIS14" s="137" t="s">
        <v>13307</v>
      </c>
      <c r="SIT14" s="137" t="s">
        <v>13308</v>
      </c>
      <c r="SIU14" s="137" t="s">
        <v>13309</v>
      </c>
      <c r="SIV14" s="137" t="s">
        <v>13310</v>
      </c>
      <c r="SIW14" s="137" t="s">
        <v>13311</v>
      </c>
      <c r="SIX14" s="137" t="s">
        <v>13312</v>
      </c>
      <c r="SIY14" s="137" t="s">
        <v>13313</v>
      </c>
      <c r="SIZ14" s="137" t="s">
        <v>13314</v>
      </c>
      <c r="SJA14" s="137" t="s">
        <v>13315</v>
      </c>
      <c r="SJB14" s="137" t="s">
        <v>13316</v>
      </c>
      <c r="SJC14" s="137" t="s">
        <v>13317</v>
      </c>
      <c r="SJD14" s="137" t="s">
        <v>13318</v>
      </c>
      <c r="SJE14" s="137" t="s">
        <v>13319</v>
      </c>
      <c r="SJF14" s="137" t="s">
        <v>13320</v>
      </c>
      <c r="SJG14" s="137" t="s">
        <v>13321</v>
      </c>
      <c r="SJH14" s="137" t="s">
        <v>13322</v>
      </c>
      <c r="SJI14" s="137" t="s">
        <v>13323</v>
      </c>
      <c r="SJJ14" s="137" t="s">
        <v>13324</v>
      </c>
      <c r="SJK14" s="137" t="s">
        <v>13325</v>
      </c>
      <c r="SJL14" s="137" t="s">
        <v>13326</v>
      </c>
      <c r="SJM14" s="137" t="s">
        <v>13327</v>
      </c>
      <c r="SJN14" s="137" t="s">
        <v>13328</v>
      </c>
      <c r="SJO14" s="137" t="s">
        <v>13329</v>
      </c>
      <c r="SJP14" s="137" t="s">
        <v>13330</v>
      </c>
      <c r="SJQ14" s="137" t="s">
        <v>13331</v>
      </c>
      <c r="SJR14" s="137" t="s">
        <v>13332</v>
      </c>
      <c r="SJS14" s="137" t="s">
        <v>13333</v>
      </c>
      <c r="SJT14" s="137" t="s">
        <v>13334</v>
      </c>
      <c r="SJU14" s="137" t="s">
        <v>13335</v>
      </c>
      <c r="SJV14" s="137" t="s">
        <v>13336</v>
      </c>
      <c r="SJW14" s="137" t="s">
        <v>13337</v>
      </c>
      <c r="SJX14" s="137" t="s">
        <v>13338</v>
      </c>
      <c r="SJY14" s="137" t="s">
        <v>13339</v>
      </c>
      <c r="SJZ14" s="137" t="s">
        <v>13340</v>
      </c>
      <c r="SKA14" s="137" t="s">
        <v>13341</v>
      </c>
      <c r="SKB14" s="137" t="s">
        <v>13342</v>
      </c>
      <c r="SKC14" s="137" t="s">
        <v>13343</v>
      </c>
      <c r="SKD14" s="137" t="s">
        <v>13344</v>
      </c>
      <c r="SKE14" s="137" t="s">
        <v>13345</v>
      </c>
      <c r="SKF14" s="137" t="s">
        <v>13346</v>
      </c>
      <c r="SKG14" s="137" t="s">
        <v>13347</v>
      </c>
      <c r="SKH14" s="137" t="s">
        <v>13348</v>
      </c>
      <c r="SKI14" s="137" t="s">
        <v>13349</v>
      </c>
      <c r="SKJ14" s="137" t="s">
        <v>13350</v>
      </c>
      <c r="SKK14" s="137" t="s">
        <v>13351</v>
      </c>
      <c r="SKL14" s="137" t="s">
        <v>13352</v>
      </c>
      <c r="SKM14" s="137" t="s">
        <v>13353</v>
      </c>
      <c r="SKN14" s="137" t="s">
        <v>13354</v>
      </c>
      <c r="SKO14" s="137" t="s">
        <v>13355</v>
      </c>
      <c r="SKP14" s="137" t="s">
        <v>13356</v>
      </c>
      <c r="SKQ14" s="137" t="s">
        <v>13357</v>
      </c>
      <c r="SKR14" s="137" t="s">
        <v>13358</v>
      </c>
      <c r="SKS14" s="137" t="s">
        <v>13359</v>
      </c>
      <c r="SKT14" s="137" t="s">
        <v>13360</v>
      </c>
      <c r="SKU14" s="137" t="s">
        <v>13361</v>
      </c>
      <c r="SKV14" s="137" t="s">
        <v>13362</v>
      </c>
      <c r="SKW14" s="137" t="s">
        <v>13363</v>
      </c>
      <c r="SKX14" s="137" t="s">
        <v>13364</v>
      </c>
      <c r="SKY14" s="137" t="s">
        <v>13365</v>
      </c>
      <c r="SKZ14" s="137" t="s">
        <v>13366</v>
      </c>
      <c r="SLA14" s="137" t="s">
        <v>13367</v>
      </c>
      <c r="SLB14" s="137" t="s">
        <v>13368</v>
      </c>
      <c r="SLC14" s="137" t="s">
        <v>13369</v>
      </c>
      <c r="SLD14" s="137" t="s">
        <v>13370</v>
      </c>
      <c r="SLE14" s="137" t="s">
        <v>13371</v>
      </c>
      <c r="SLF14" s="137" t="s">
        <v>13372</v>
      </c>
      <c r="SLG14" s="137" t="s">
        <v>13373</v>
      </c>
      <c r="SLH14" s="137" t="s">
        <v>13374</v>
      </c>
      <c r="SLI14" s="137" t="s">
        <v>13375</v>
      </c>
      <c r="SLJ14" s="137" t="s">
        <v>13376</v>
      </c>
      <c r="SLK14" s="137" t="s">
        <v>13377</v>
      </c>
      <c r="SLL14" s="137" t="s">
        <v>13378</v>
      </c>
      <c r="SLM14" s="137" t="s">
        <v>13379</v>
      </c>
      <c r="SLN14" s="137" t="s">
        <v>13380</v>
      </c>
      <c r="SLO14" s="137" t="s">
        <v>13381</v>
      </c>
      <c r="SLP14" s="137" t="s">
        <v>13382</v>
      </c>
      <c r="SLQ14" s="137" t="s">
        <v>13383</v>
      </c>
      <c r="SLR14" s="137" t="s">
        <v>13384</v>
      </c>
      <c r="SLS14" s="137" t="s">
        <v>13385</v>
      </c>
      <c r="SLT14" s="137" t="s">
        <v>13386</v>
      </c>
      <c r="SLU14" s="137" t="s">
        <v>13387</v>
      </c>
      <c r="SLV14" s="137" t="s">
        <v>13388</v>
      </c>
      <c r="SLW14" s="137" t="s">
        <v>13389</v>
      </c>
      <c r="SLX14" s="137" t="s">
        <v>13390</v>
      </c>
      <c r="SLY14" s="137" t="s">
        <v>13391</v>
      </c>
      <c r="SLZ14" s="137" t="s">
        <v>13392</v>
      </c>
      <c r="SMA14" s="137" t="s">
        <v>13393</v>
      </c>
      <c r="SMB14" s="137" t="s">
        <v>13394</v>
      </c>
      <c r="SMC14" s="137" t="s">
        <v>13395</v>
      </c>
      <c r="SMD14" s="137" t="s">
        <v>13396</v>
      </c>
      <c r="SME14" s="137" t="s">
        <v>13397</v>
      </c>
      <c r="SMF14" s="137" t="s">
        <v>13398</v>
      </c>
      <c r="SMG14" s="137" t="s">
        <v>13399</v>
      </c>
      <c r="SMH14" s="137" t="s">
        <v>13400</v>
      </c>
      <c r="SMI14" s="137" t="s">
        <v>13401</v>
      </c>
      <c r="SMJ14" s="137" t="s">
        <v>13402</v>
      </c>
      <c r="SMK14" s="137" t="s">
        <v>13403</v>
      </c>
      <c r="SML14" s="137" t="s">
        <v>13404</v>
      </c>
      <c r="SMM14" s="137" t="s">
        <v>13405</v>
      </c>
      <c r="SMN14" s="137" t="s">
        <v>13406</v>
      </c>
      <c r="SMO14" s="137" t="s">
        <v>13407</v>
      </c>
      <c r="SMP14" s="137" t="s">
        <v>13408</v>
      </c>
      <c r="SMQ14" s="137" t="s">
        <v>13409</v>
      </c>
      <c r="SMR14" s="137" t="s">
        <v>13410</v>
      </c>
      <c r="SMS14" s="137" t="s">
        <v>13411</v>
      </c>
      <c r="SMT14" s="137" t="s">
        <v>13412</v>
      </c>
      <c r="SMU14" s="137" t="s">
        <v>13413</v>
      </c>
      <c r="SMV14" s="137" t="s">
        <v>13414</v>
      </c>
      <c r="SMW14" s="137" t="s">
        <v>13415</v>
      </c>
      <c r="SMX14" s="137" t="s">
        <v>13416</v>
      </c>
      <c r="SMY14" s="137" t="s">
        <v>13417</v>
      </c>
      <c r="SMZ14" s="137" t="s">
        <v>13418</v>
      </c>
      <c r="SNA14" s="137" t="s">
        <v>13419</v>
      </c>
      <c r="SNB14" s="137" t="s">
        <v>13420</v>
      </c>
      <c r="SNC14" s="137" t="s">
        <v>13421</v>
      </c>
      <c r="SND14" s="137" t="s">
        <v>13422</v>
      </c>
      <c r="SNE14" s="137" t="s">
        <v>13423</v>
      </c>
      <c r="SNF14" s="137" t="s">
        <v>13424</v>
      </c>
      <c r="SNG14" s="137" t="s">
        <v>13425</v>
      </c>
      <c r="SNH14" s="137" t="s">
        <v>13426</v>
      </c>
      <c r="SNI14" s="137" t="s">
        <v>13427</v>
      </c>
      <c r="SNJ14" s="137" t="s">
        <v>13428</v>
      </c>
      <c r="SNK14" s="137" t="s">
        <v>13429</v>
      </c>
      <c r="SNL14" s="137" t="s">
        <v>13430</v>
      </c>
      <c r="SNM14" s="137" t="s">
        <v>13431</v>
      </c>
      <c r="SNN14" s="137" t="s">
        <v>13432</v>
      </c>
      <c r="SNO14" s="137" t="s">
        <v>13433</v>
      </c>
      <c r="SNP14" s="137" t="s">
        <v>13434</v>
      </c>
      <c r="SNQ14" s="137" t="s">
        <v>13435</v>
      </c>
      <c r="SNR14" s="137" t="s">
        <v>13436</v>
      </c>
      <c r="SNS14" s="137" t="s">
        <v>13437</v>
      </c>
      <c r="SNT14" s="137" t="s">
        <v>13438</v>
      </c>
      <c r="SNU14" s="137" t="s">
        <v>13439</v>
      </c>
      <c r="SNV14" s="137" t="s">
        <v>13440</v>
      </c>
      <c r="SNW14" s="137" t="s">
        <v>13441</v>
      </c>
      <c r="SNX14" s="137" t="s">
        <v>13442</v>
      </c>
      <c r="SNY14" s="137" t="s">
        <v>13443</v>
      </c>
      <c r="SNZ14" s="137" t="s">
        <v>13444</v>
      </c>
      <c r="SOA14" s="137" t="s">
        <v>13445</v>
      </c>
      <c r="SOB14" s="137" t="s">
        <v>13446</v>
      </c>
      <c r="SOC14" s="137" t="s">
        <v>13447</v>
      </c>
      <c r="SOD14" s="137" t="s">
        <v>13448</v>
      </c>
      <c r="SOE14" s="137" t="s">
        <v>13449</v>
      </c>
      <c r="SOF14" s="137" t="s">
        <v>13450</v>
      </c>
      <c r="SOG14" s="137" t="s">
        <v>13451</v>
      </c>
      <c r="SOH14" s="137" t="s">
        <v>13452</v>
      </c>
      <c r="SOI14" s="137" t="s">
        <v>13453</v>
      </c>
      <c r="SOJ14" s="137" t="s">
        <v>13454</v>
      </c>
      <c r="SOK14" s="137" t="s">
        <v>13455</v>
      </c>
      <c r="SOL14" s="137" t="s">
        <v>13456</v>
      </c>
      <c r="SOM14" s="137" t="s">
        <v>13457</v>
      </c>
      <c r="SON14" s="137" t="s">
        <v>13458</v>
      </c>
      <c r="SOO14" s="137" t="s">
        <v>13459</v>
      </c>
      <c r="SOP14" s="137" t="s">
        <v>13460</v>
      </c>
      <c r="SOQ14" s="137" t="s">
        <v>13461</v>
      </c>
      <c r="SOR14" s="137" t="s">
        <v>13462</v>
      </c>
      <c r="SOS14" s="137" t="s">
        <v>13463</v>
      </c>
      <c r="SOT14" s="137" t="s">
        <v>13464</v>
      </c>
      <c r="SOU14" s="137" t="s">
        <v>13465</v>
      </c>
      <c r="SOV14" s="137" t="s">
        <v>13466</v>
      </c>
      <c r="SOW14" s="137" t="s">
        <v>13467</v>
      </c>
      <c r="SOX14" s="137" t="s">
        <v>13468</v>
      </c>
      <c r="SOY14" s="137" t="s">
        <v>13469</v>
      </c>
      <c r="SOZ14" s="137" t="s">
        <v>13470</v>
      </c>
      <c r="SPA14" s="137" t="s">
        <v>13471</v>
      </c>
      <c r="SPB14" s="137" t="s">
        <v>13472</v>
      </c>
      <c r="SPC14" s="137" t="s">
        <v>13473</v>
      </c>
      <c r="SPD14" s="137" t="s">
        <v>13474</v>
      </c>
      <c r="SPE14" s="137" t="s">
        <v>13475</v>
      </c>
      <c r="SPF14" s="137" t="s">
        <v>13476</v>
      </c>
      <c r="SPG14" s="137" t="s">
        <v>13477</v>
      </c>
      <c r="SPH14" s="137" t="s">
        <v>13478</v>
      </c>
      <c r="SPI14" s="137" t="s">
        <v>13479</v>
      </c>
      <c r="SPJ14" s="137" t="s">
        <v>13480</v>
      </c>
      <c r="SPK14" s="137" t="s">
        <v>13481</v>
      </c>
      <c r="SPL14" s="137" t="s">
        <v>13482</v>
      </c>
      <c r="SPM14" s="137" t="s">
        <v>13483</v>
      </c>
      <c r="SPN14" s="137" t="s">
        <v>13484</v>
      </c>
      <c r="SPO14" s="137" t="s">
        <v>13485</v>
      </c>
      <c r="SPP14" s="137" t="s">
        <v>13486</v>
      </c>
      <c r="SPQ14" s="137" t="s">
        <v>13487</v>
      </c>
      <c r="SPR14" s="137" t="s">
        <v>13488</v>
      </c>
      <c r="SPS14" s="137" t="s">
        <v>13489</v>
      </c>
      <c r="SPT14" s="137" t="s">
        <v>13490</v>
      </c>
      <c r="SPU14" s="137" t="s">
        <v>13491</v>
      </c>
      <c r="SPV14" s="137" t="s">
        <v>13492</v>
      </c>
      <c r="SPW14" s="137" t="s">
        <v>13493</v>
      </c>
      <c r="SPX14" s="137" t="s">
        <v>13494</v>
      </c>
      <c r="SPY14" s="137" t="s">
        <v>13495</v>
      </c>
      <c r="SPZ14" s="137" t="s">
        <v>13496</v>
      </c>
      <c r="SQA14" s="137" t="s">
        <v>13497</v>
      </c>
      <c r="SQB14" s="137" t="s">
        <v>13498</v>
      </c>
      <c r="SQC14" s="137" t="s">
        <v>13499</v>
      </c>
      <c r="SQD14" s="137" t="s">
        <v>13500</v>
      </c>
      <c r="SQE14" s="137" t="s">
        <v>13501</v>
      </c>
      <c r="SQF14" s="137" t="s">
        <v>13502</v>
      </c>
      <c r="SQG14" s="137" t="s">
        <v>13503</v>
      </c>
      <c r="SQH14" s="137" t="s">
        <v>13504</v>
      </c>
      <c r="SQI14" s="137" t="s">
        <v>13505</v>
      </c>
      <c r="SQJ14" s="137" t="s">
        <v>13506</v>
      </c>
      <c r="SQK14" s="137" t="s">
        <v>13507</v>
      </c>
      <c r="SQL14" s="137" t="s">
        <v>13508</v>
      </c>
      <c r="SQM14" s="137" t="s">
        <v>13509</v>
      </c>
      <c r="SQN14" s="137" t="s">
        <v>13510</v>
      </c>
      <c r="SQO14" s="137" t="s">
        <v>13511</v>
      </c>
      <c r="SQP14" s="137" t="s">
        <v>13512</v>
      </c>
      <c r="SQQ14" s="137" t="s">
        <v>13513</v>
      </c>
      <c r="SQR14" s="137" t="s">
        <v>13514</v>
      </c>
      <c r="SQS14" s="137" t="s">
        <v>13515</v>
      </c>
      <c r="SQT14" s="137" t="s">
        <v>13516</v>
      </c>
      <c r="SQU14" s="137" t="s">
        <v>13517</v>
      </c>
      <c r="SQV14" s="137" t="s">
        <v>13518</v>
      </c>
      <c r="SQW14" s="137" t="s">
        <v>13519</v>
      </c>
      <c r="SQX14" s="137" t="s">
        <v>13520</v>
      </c>
      <c r="SQY14" s="137" t="s">
        <v>13521</v>
      </c>
      <c r="SQZ14" s="137" t="s">
        <v>13522</v>
      </c>
      <c r="SRA14" s="137" t="s">
        <v>13523</v>
      </c>
      <c r="SRB14" s="137" t="s">
        <v>13524</v>
      </c>
      <c r="SRC14" s="137" t="s">
        <v>13525</v>
      </c>
      <c r="SRD14" s="137" t="s">
        <v>13526</v>
      </c>
      <c r="SRE14" s="137" t="s">
        <v>13527</v>
      </c>
      <c r="SRF14" s="137" t="s">
        <v>13528</v>
      </c>
      <c r="SRG14" s="137" t="s">
        <v>13529</v>
      </c>
      <c r="SRH14" s="137" t="s">
        <v>13530</v>
      </c>
      <c r="SRI14" s="137" t="s">
        <v>13531</v>
      </c>
      <c r="SRJ14" s="137" t="s">
        <v>13532</v>
      </c>
      <c r="SRK14" s="137" t="s">
        <v>13533</v>
      </c>
      <c r="SRL14" s="137" t="s">
        <v>13534</v>
      </c>
      <c r="SRM14" s="137" t="s">
        <v>13535</v>
      </c>
      <c r="SRN14" s="137" t="s">
        <v>13536</v>
      </c>
      <c r="SRO14" s="137" t="s">
        <v>13537</v>
      </c>
      <c r="SRP14" s="137" t="s">
        <v>13538</v>
      </c>
      <c r="SRQ14" s="137" t="s">
        <v>13539</v>
      </c>
      <c r="SRR14" s="137" t="s">
        <v>13540</v>
      </c>
      <c r="SRS14" s="137" t="s">
        <v>13541</v>
      </c>
      <c r="SRT14" s="137" t="s">
        <v>13542</v>
      </c>
      <c r="SRU14" s="137" t="s">
        <v>13543</v>
      </c>
      <c r="SRV14" s="137" t="s">
        <v>13544</v>
      </c>
      <c r="SRW14" s="137" t="s">
        <v>13545</v>
      </c>
      <c r="SRX14" s="137" t="s">
        <v>13546</v>
      </c>
      <c r="SRY14" s="137" t="s">
        <v>13547</v>
      </c>
      <c r="SRZ14" s="137" t="s">
        <v>13548</v>
      </c>
      <c r="SSA14" s="137" t="s">
        <v>13549</v>
      </c>
      <c r="SSB14" s="137" t="s">
        <v>13550</v>
      </c>
      <c r="SSC14" s="137" t="s">
        <v>13551</v>
      </c>
      <c r="SSD14" s="137" t="s">
        <v>13552</v>
      </c>
      <c r="SSE14" s="137" t="s">
        <v>13553</v>
      </c>
      <c r="SSF14" s="137" t="s">
        <v>13554</v>
      </c>
      <c r="SSG14" s="137" t="s">
        <v>13555</v>
      </c>
      <c r="SSH14" s="137" t="s">
        <v>13556</v>
      </c>
      <c r="SSI14" s="137" t="s">
        <v>13557</v>
      </c>
      <c r="SSJ14" s="137" t="s">
        <v>13558</v>
      </c>
      <c r="SSK14" s="137" t="s">
        <v>13559</v>
      </c>
      <c r="SSL14" s="137" t="s">
        <v>13560</v>
      </c>
      <c r="SSM14" s="137" t="s">
        <v>13561</v>
      </c>
      <c r="SSN14" s="137" t="s">
        <v>13562</v>
      </c>
      <c r="SSO14" s="137" t="s">
        <v>13563</v>
      </c>
      <c r="SSP14" s="137" t="s">
        <v>13564</v>
      </c>
      <c r="SSQ14" s="137" t="s">
        <v>13565</v>
      </c>
      <c r="SSR14" s="137" t="s">
        <v>13566</v>
      </c>
      <c r="SSS14" s="137" t="s">
        <v>13567</v>
      </c>
      <c r="SST14" s="137" t="s">
        <v>13568</v>
      </c>
      <c r="SSU14" s="137" t="s">
        <v>13569</v>
      </c>
      <c r="SSV14" s="137" t="s">
        <v>13570</v>
      </c>
      <c r="SSW14" s="137" t="s">
        <v>13571</v>
      </c>
      <c r="SSX14" s="137" t="s">
        <v>13572</v>
      </c>
      <c r="SSY14" s="137" t="s">
        <v>13573</v>
      </c>
      <c r="SSZ14" s="137" t="s">
        <v>13574</v>
      </c>
      <c r="STA14" s="137" t="s">
        <v>13575</v>
      </c>
      <c r="STB14" s="137" t="s">
        <v>13576</v>
      </c>
      <c r="STC14" s="137" t="s">
        <v>13577</v>
      </c>
      <c r="STD14" s="137" t="s">
        <v>13578</v>
      </c>
      <c r="STE14" s="137" t="s">
        <v>13579</v>
      </c>
      <c r="STF14" s="137" t="s">
        <v>13580</v>
      </c>
      <c r="STG14" s="137" t="s">
        <v>13581</v>
      </c>
      <c r="STH14" s="137" t="s">
        <v>13582</v>
      </c>
      <c r="STI14" s="137" t="s">
        <v>13583</v>
      </c>
      <c r="STJ14" s="137" t="s">
        <v>13584</v>
      </c>
      <c r="STK14" s="137" t="s">
        <v>13585</v>
      </c>
      <c r="STL14" s="137" t="s">
        <v>13586</v>
      </c>
      <c r="STM14" s="137" t="s">
        <v>13587</v>
      </c>
      <c r="STN14" s="137" t="s">
        <v>13588</v>
      </c>
      <c r="STO14" s="137" t="s">
        <v>13589</v>
      </c>
      <c r="STP14" s="137" t="s">
        <v>13590</v>
      </c>
      <c r="STQ14" s="137" t="s">
        <v>13591</v>
      </c>
      <c r="STR14" s="137" t="s">
        <v>13592</v>
      </c>
      <c r="STS14" s="137" t="s">
        <v>13593</v>
      </c>
      <c r="STT14" s="137" t="s">
        <v>13594</v>
      </c>
      <c r="STU14" s="137" t="s">
        <v>13595</v>
      </c>
      <c r="STV14" s="137" t="s">
        <v>13596</v>
      </c>
      <c r="STW14" s="137" t="s">
        <v>13597</v>
      </c>
      <c r="STX14" s="137" t="s">
        <v>13598</v>
      </c>
      <c r="STY14" s="137" t="s">
        <v>13599</v>
      </c>
      <c r="STZ14" s="137" t="s">
        <v>13600</v>
      </c>
      <c r="SUA14" s="137" t="s">
        <v>13601</v>
      </c>
      <c r="SUB14" s="137" t="s">
        <v>13602</v>
      </c>
      <c r="SUC14" s="137" t="s">
        <v>13603</v>
      </c>
      <c r="SUD14" s="137" t="s">
        <v>13604</v>
      </c>
      <c r="SUE14" s="137" t="s">
        <v>13605</v>
      </c>
      <c r="SUF14" s="137" t="s">
        <v>13606</v>
      </c>
      <c r="SUG14" s="137" t="s">
        <v>13607</v>
      </c>
      <c r="SUH14" s="137" t="s">
        <v>13608</v>
      </c>
      <c r="SUI14" s="137" t="s">
        <v>13609</v>
      </c>
      <c r="SUJ14" s="137" t="s">
        <v>13610</v>
      </c>
      <c r="SUK14" s="137" t="s">
        <v>13611</v>
      </c>
      <c r="SUL14" s="137" t="s">
        <v>13612</v>
      </c>
      <c r="SUM14" s="137" t="s">
        <v>13613</v>
      </c>
      <c r="SUN14" s="137" t="s">
        <v>13614</v>
      </c>
      <c r="SUO14" s="137" t="s">
        <v>13615</v>
      </c>
      <c r="SUP14" s="137" t="s">
        <v>13616</v>
      </c>
      <c r="SUQ14" s="137" t="s">
        <v>13617</v>
      </c>
      <c r="SUR14" s="137" t="s">
        <v>13618</v>
      </c>
      <c r="SUS14" s="137" t="s">
        <v>13619</v>
      </c>
      <c r="SUT14" s="137" t="s">
        <v>13620</v>
      </c>
      <c r="SUU14" s="137" t="s">
        <v>13621</v>
      </c>
      <c r="SUV14" s="137" t="s">
        <v>13622</v>
      </c>
      <c r="SUW14" s="137" t="s">
        <v>13623</v>
      </c>
      <c r="SUX14" s="137" t="s">
        <v>13624</v>
      </c>
      <c r="SUY14" s="137" t="s">
        <v>13625</v>
      </c>
      <c r="SUZ14" s="137" t="s">
        <v>13626</v>
      </c>
      <c r="SVA14" s="137" t="s">
        <v>13627</v>
      </c>
      <c r="SVB14" s="137" t="s">
        <v>13628</v>
      </c>
      <c r="SVC14" s="137" t="s">
        <v>13629</v>
      </c>
      <c r="SVD14" s="137" t="s">
        <v>13630</v>
      </c>
      <c r="SVE14" s="137" t="s">
        <v>13631</v>
      </c>
      <c r="SVF14" s="137" t="s">
        <v>13632</v>
      </c>
      <c r="SVG14" s="137" t="s">
        <v>13633</v>
      </c>
      <c r="SVH14" s="137" t="s">
        <v>13634</v>
      </c>
      <c r="SVI14" s="137" t="s">
        <v>13635</v>
      </c>
      <c r="SVJ14" s="137" t="s">
        <v>13636</v>
      </c>
      <c r="SVK14" s="137" t="s">
        <v>13637</v>
      </c>
      <c r="SVL14" s="137" t="s">
        <v>13638</v>
      </c>
      <c r="SVM14" s="137" t="s">
        <v>13639</v>
      </c>
      <c r="SVN14" s="137" t="s">
        <v>13640</v>
      </c>
      <c r="SVO14" s="137" t="s">
        <v>13641</v>
      </c>
      <c r="SVP14" s="137" t="s">
        <v>13642</v>
      </c>
      <c r="SVQ14" s="137" t="s">
        <v>13643</v>
      </c>
      <c r="SVR14" s="137" t="s">
        <v>13644</v>
      </c>
      <c r="SVS14" s="137" t="s">
        <v>13645</v>
      </c>
      <c r="SVT14" s="137" t="s">
        <v>13646</v>
      </c>
      <c r="SVU14" s="137" t="s">
        <v>13647</v>
      </c>
      <c r="SVV14" s="137" t="s">
        <v>13648</v>
      </c>
      <c r="SVW14" s="137" t="s">
        <v>13649</v>
      </c>
      <c r="SVX14" s="137" t="s">
        <v>13650</v>
      </c>
      <c r="SVY14" s="137" t="s">
        <v>13651</v>
      </c>
      <c r="SVZ14" s="137" t="s">
        <v>13652</v>
      </c>
      <c r="SWA14" s="137" t="s">
        <v>13653</v>
      </c>
      <c r="SWB14" s="137" t="s">
        <v>13654</v>
      </c>
      <c r="SWC14" s="137" t="s">
        <v>13655</v>
      </c>
      <c r="SWD14" s="137" t="s">
        <v>13656</v>
      </c>
      <c r="SWE14" s="137" t="s">
        <v>13657</v>
      </c>
      <c r="SWF14" s="137" t="s">
        <v>13658</v>
      </c>
      <c r="SWG14" s="137" t="s">
        <v>13659</v>
      </c>
      <c r="SWH14" s="137" t="s">
        <v>13660</v>
      </c>
      <c r="SWI14" s="137" t="s">
        <v>13661</v>
      </c>
      <c r="SWJ14" s="137" t="s">
        <v>13662</v>
      </c>
      <c r="SWK14" s="137" t="s">
        <v>13663</v>
      </c>
      <c r="SWL14" s="137" t="s">
        <v>13664</v>
      </c>
      <c r="SWM14" s="137" t="s">
        <v>13665</v>
      </c>
      <c r="SWN14" s="137" t="s">
        <v>13666</v>
      </c>
      <c r="SWO14" s="137" t="s">
        <v>13667</v>
      </c>
      <c r="SWP14" s="137" t="s">
        <v>13668</v>
      </c>
      <c r="SWQ14" s="137" t="s">
        <v>13669</v>
      </c>
      <c r="SWR14" s="137" t="s">
        <v>13670</v>
      </c>
      <c r="SWS14" s="137" t="s">
        <v>13671</v>
      </c>
      <c r="SWT14" s="137" t="s">
        <v>13672</v>
      </c>
      <c r="SWU14" s="137" t="s">
        <v>13673</v>
      </c>
      <c r="SWV14" s="137" t="s">
        <v>13674</v>
      </c>
      <c r="SWW14" s="137" t="s">
        <v>13675</v>
      </c>
      <c r="SWX14" s="137" t="s">
        <v>13676</v>
      </c>
      <c r="SWY14" s="137" t="s">
        <v>13677</v>
      </c>
      <c r="SWZ14" s="137" t="s">
        <v>13678</v>
      </c>
      <c r="SXA14" s="137" t="s">
        <v>13679</v>
      </c>
      <c r="SXB14" s="137" t="s">
        <v>13680</v>
      </c>
      <c r="SXC14" s="137" t="s">
        <v>13681</v>
      </c>
      <c r="SXD14" s="137" t="s">
        <v>13682</v>
      </c>
      <c r="SXE14" s="137" t="s">
        <v>13683</v>
      </c>
      <c r="SXF14" s="137" t="s">
        <v>13684</v>
      </c>
      <c r="SXG14" s="137" t="s">
        <v>13685</v>
      </c>
      <c r="SXH14" s="137" t="s">
        <v>13686</v>
      </c>
      <c r="SXI14" s="137" t="s">
        <v>13687</v>
      </c>
      <c r="SXJ14" s="137" t="s">
        <v>13688</v>
      </c>
      <c r="SXK14" s="137" t="s">
        <v>13689</v>
      </c>
      <c r="SXL14" s="137" t="s">
        <v>13690</v>
      </c>
      <c r="SXM14" s="137" t="s">
        <v>13691</v>
      </c>
      <c r="SXN14" s="137" t="s">
        <v>13692</v>
      </c>
      <c r="SXO14" s="137" t="s">
        <v>13693</v>
      </c>
      <c r="SXP14" s="137" t="s">
        <v>13694</v>
      </c>
      <c r="SXQ14" s="137" t="s">
        <v>13695</v>
      </c>
      <c r="SXR14" s="137" t="s">
        <v>13696</v>
      </c>
      <c r="SXS14" s="137" t="s">
        <v>13697</v>
      </c>
      <c r="SXT14" s="137" t="s">
        <v>13698</v>
      </c>
      <c r="SXU14" s="137" t="s">
        <v>13699</v>
      </c>
      <c r="SXV14" s="137" t="s">
        <v>13700</v>
      </c>
      <c r="SXW14" s="137" t="s">
        <v>13701</v>
      </c>
      <c r="SXX14" s="137" t="s">
        <v>13702</v>
      </c>
      <c r="SXY14" s="137" t="s">
        <v>13703</v>
      </c>
      <c r="SXZ14" s="137" t="s">
        <v>13704</v>
      </c>
      <c r="SYA14" s="137" t="s">
        <v>13705</v>
      </c>
      <c r="SYB14" s="137" t="s">
        <v>13706</v>
      </c>
      <c r="SYC14" s="137" t="s">
        <v>13707</v>
      </c>
      <c r="SYD14" s="137" t="s">
        <v>13708</v>
      </c>
      <c r="SYE14" s="137" t="s">
        <v>13709</v>
      </c>
      <c r="SYF14" s="137" t="s">
        <v>13710</v>
      </c>
      <c r="SYG14" s="137" t="s">
        <v>13711</v>
      </c>
      <c r="SYH14" s="137" t="s">
        <v>13712</v>
      </c>
      <c r="SYI14" s="137" t="s">
        <v>13713</v>
      </c>
      <c r="SYJ14" s="137" t="s">
        <v>13714</v>
      </c>
      <c r="SYK14" s="137" t="s">
        <v>13715</v>
      </c>
      <c r="SYL14" s="137" t="s">
        <v>13716</v>
      </c>
      <c r="SYM14" s="137" t="s">
        <v>13717</v>
      </c>
      <c r="SYN14" s="137" t="s">
        <v>13718</v>
      </c>
      <c r="SYO14" s="137" t="s">
        <v>13719</v>
      </c>
      <c r="SYP14" s="137" t="s">
        <v>13720</v>
      </c>
      <c r="SYQ14" s="137" t="s">
        <v>13721</v>
      </c>
      <c r="SYR14" s="137" t="s">
        <v>13722</v>
      </c>
      <c r="SYS14" s="137" t="s">
        <v>13723</v>
      </c>
      <c r="SYT14" s="137" t="s">
        <v>13724</v>
      </c>
      <c r="SYU14" s="137" t="s">
        <v>13725</v>
      </c>
      <c r="SYV14" s="137" t="s">
        <v>13726</v>
      </c>
      <c r="SYW14" s="137" t="s">
        <v>13727</v>
      </c>
      <c r="SYX14" s="137" t="s">
        <v>13728</v>
      </c>
      <c r="SYY14" s="137" t="s">
        <v>13729</v>
      </c>
      <c r="SYZ14" s="137" t="s">
        <v>13730</v>
      </c>
      <c r="SZA14" s="137" t="s">
        <v>13731</v>
      </c>
      <c r="SZB14" s="137" t="s">
        <v>13732</v>
      </c>
      <c r="SZC14" s="137" t="s">
        <v>13733</v>
      </c>
      <c r="SZD14" s="137" t="s">
        <v>13734</v>
      </c>
      <c r="SZE14" s="137" t="s">
        <v>13735</v>
      </c>
      <c r="SZF14" s="137" t="s">
        <v>13736</v>
      </c>
      <c r="SZG14" s="137" t="s">
        <v>13737</v>
      </c>
      <c r="SZH14" s="137" t="s">
        <v>13738</v>
      </c>
      <c r="SZI14" s="137" t="s">
        <v>13739</v>
      </c>
      <c r="SZJ14" s="137" t="s">
        <v>13740</v>
      </c>
      <c r="SZK14" s="137" t="s">
        <v>13741</v>
      </c>
      <c r="SZL14" s="137" t="s">
        <v>13742</v>
      </c>
      <c r="SZM14" s="137" t="s">
        <v>13743</v>
      </c>
      <c r="SZN14" s="137" t="s">
        <v>13744</v>
      </c>
      <c r="SZO14" s="137" t="s">
        <v>13745</v>
      </c>
      <c r="SZP14" s="137" t="s">
        <v>13746</v>
      </c>
      <c r="SZQ14" s="137" t="s">
        <v>13747</v>
      </c>
      <c r="SZR14" s="137" t="s">
        <v>13748</v>
      </c>
      <c r="SZS14" s="137" t="s">
        <v>13749</v>
      </c>
      <c r="SZT14" s="137" t="s">
        <v>13750</v>
      </c>
      <c r="SZU14" s="137" t="s">
        <v>13751</v>
      </c>
      <c r="SZV14" s="137" t="s">
        <v>13752</v>
      </c>
      <c r="SZW14" s="137" t="s">
        <v>13753</v>
      </c>
      <c r="SZX14" s="137" t="s">
        <v>13754</v>
      </c>
      <c r="SZY14" s="137" t="s">
        <v>13755</v>
      </c>
      <c r="SZZ14" s="137" t="s">
        <v>13756</v>
      </c>
      <c r="TAA14" s="137" t="s">
        <v>13757</v>
      </c>
      <c r="TAB14" s="137" t="s">
        <v>13758</v>
      </c>
      <c r="TAC14" s="137" t="s">
        <v>13759</v>
      </c>
      <c r="TAD14" s="137" t="s">
        <v>13760</v>
      </c>
      <c r="TAE14" s="137" t="s">
        <v>13761</v>
      </c>
      <c r="TAF14" s="137" t="s">
        <v>13762</v>
      </c>
      <c r="TAG14" s="137" t="s">
        <v>13763</v>
      </c>
      <c r="TAH14" s="137" t="s">
        <v>13764</v>
      </c>
      <c r="TAI14" s="137" t="s">
        <v>13765</v>
      </c>
      <c r="TAJ14" s="137" t="s">
        <v>13766</v>
      </c>
      <c r="TAK14" s="137" t="s">
        <v>13767</v>
      </c>
      <c r="TAL14" s="137" t="s">
        <v>13768</v>
      </c>
      <c r="TAM14" s="137" t="s">
        <v>13769</v>
      </c>
      <c r="TAN14" s="137" t="s">
        <v>13770</v>
      </c>
      <c r="TAO14" s="137" t="s">
        <v>13771</v>
      </c>
      <c r="TAP14" s="137" t="s">
        <v>13772</v>
      </c>
      <c r="TAQ14" s="137" t="s">
        <v>13773</v>
      </c>
      <c r="TAR14" s="137" t="s">
        <v>13774</v>
      </c>
      <c r="TAS14" s="137" t="s">
        <v>13775</v>
      </c>
      <c r="TAT14" s="137" t="s">
        <v>13776</v>
      </c>
      <c r="TAU14" s="137" t="s">
        <v>13777</v>
      </c>
      <c r="TAV14" s="137" t="s">
        <v>13778</v>
      </c>
      <c r="TAW14" s="137" t="s">
        <v>13779</v>
      </c>
      <c r="TAX14" s="137" t="s">
        <v>13780</v>
      </c>
      <c r="TAY14" s="137" t="s">
        <v>13781</v>
      </c>
      <c r="TAZ14" s="137" t="s">
        <v>13782</v>
      </c>
      <c r="TBA14" s="137" t="s">
        <v>13783</v>
      </c>
      <c r="TBB14" s="137" t="s">
        <v>13784</v>
      </c>
      <c r="TBC14" s="137" t="s">
        <v>13785</v>
      </c>
      <c r="TBD14" s="137" t="s">
        <v>13786</v>
      </c>
      <c r="TBE14" s="137" t="s">
        <v>13787</v>
      </c>
      <c r="TBF14" s="137" t="s">
        <v>13788</v>
      </c>
      <c r="TBG14" s="137" t="s">
        <v>13789</v>
      </c>
      <c r="TBH14" s="137" t="s">
        <v>13790</v>
      </c>
      <c r="TBI14" s="137" t="s">
        <v>13791</v>
      </c>
      <c r="TBJ14" s="137" t="s">
        <v>13792</v>
      </c>
      <c r="TBK14" s="137" t="s">
        <v>13793</v>
      </c>
      <c r="TBL14" s="137" t="s">
        <v>13794</v>
      </c>
      <c r="TBM14" s="137" t="s">
        <v>13795</v>
      </c>
      <c r="TBN14" s="137" t="s">
        <v>13796</v>
      </c>
      <c r="TBO14" s="137" t="s">
        <v>13797</v>
      </c>
      <c r="TBP14" s="137" t="s">
        <v>13798</v>
      </c>
      <c r="TBQ14" s="137" t="s">
        <v>13799</v>
      </c>
      <c r="TBR14" s="137" t="s">
        <v>13800</v>
      </c>
      <c r="TBS14" s="137" t="s">
        <v>13801</v>
      </c>
      <c r="TBT14" s="137" t="s">
        <v>13802</v>
      </c>
      <c r="TBU14" s="137" t="s">
        <v>13803</v>
      </c>
      <c r="TBV14" s="137" t="s">
        <v>13804</v>
      </c>
      <c r="TBW14" s="137" t="s">
        <v>13805</v>
      </c>
      <c r="TBX14" s="137" t="s">
        <v>13806</v>
      </c>
      <c r="TBY14" s="137" t="s">
        <v>13807</v>
      </c>
      <c r="TBZ14" s="137" t="s">
        <v>13808</v>
      </c>
      <c r="TCA14" s="137" t="s">
        <v>13809</v>
      </c>
      <c r="TCB14" s="137" t="s">
        <v>13810</v>
      </c>
      <c r="TCC14" s="137" t="s">
        <v>13811</v>
      </c>
      <c r="TCD14" s="137" t="s">
        <v>13812</v>
      </c>
      <c r="TCE14" s="137" t="s">
        <v>13813</v>
      </c>
      <c r="TCF14" s="137" t="s">
        <v>13814</v>
      </c>
      <c r="TCG14" s="137" t="s">
        <v>13815</v>
      </c>
      <c r="TCH14" s="137" t="s">
        <v>13816</v>
      </c>
      <c r="TCI14" s="137" t="s">
        <v>13817</v>
      </c>
      <c r="TCJ14" s="137" t="s">
        <v>13818</v>
      </c>
      <c r="TCK14" s="137" t="s">
        <v>13819</v>
      </c>
      <c r="TCL14" s="137" t="s">
        <v>13820</v>
      </c>
      <c r="TCM14" s="137" t="s">
        <v>13821</v>
      </c>
      <c r="TCN14" s="137" t="s">
        <v>13822</v>
      </c>
      <c r="TCO14" s="137" t="s">
        <v>13823</v>
      </c>
      <c r="TCP14" s="137" t="s">
        <v>13824</v>
      </c>
      <c r="TCQ14" s="137" t="s">
        <v>13825</v>
      </c>
      <c r="TCR14" s="137" t="s">
        <v>13826</v>
      </c>
      <c r="TCS14" s="137" t="s">
        <v>13827</v>
      </c>
      <c r="TCT14" s="137" t="s">
        <v>13828</v>
      </c>
      <c r="TCU14" s="137" t="s">
        <v>13829</v>
      </c>
      <c r="TCV14" s="137" t="s">
        <v>13830</v>
      </c>
      <c r="TCW14" s="137" t="s">
        <v>13831</v>
      </c>
      <c r="TCX14" s="137" t="s">
        <v>13832</v>
      </c>
      <c r="TCY14" s="137" t="s">
        <v>13833</v>
      </c>
      <c r="TCZ14" s="137" t="s">
        <v>13834</v>
      </c>
      <c r="TDA14" s="137" t="s">
        <v>13835</v>
      </c>
      <c r="TDB14" s="137" t="s">
        <v>13836</v>
      </c>
      <c r="TDC14" s="137" t="s">
        <v>13837</v>
      </c>
      <c r="TDD14" s="137" t="s">
        <v>13838</v>
      </c>
      <c r="TDE14" s="137" t="s">
        <v>13839</v>
      </c>
      <c r="TDF14" s="137" t="s">
        <v>13840</v>
      </c>
      <c r="TDG14" s="137" t="s">
        <v>13841</v>
      </c>
      <c r="TDH14" s="137" t="s">
        <v>13842</v>
      </c>
      <c r="TDI14" s="137" t="s">
        <v>13843</v>
      </c>
      <c r="TDJ14" s="137" t="s">
        <v>13844</v>
      </c>
      <c r="TDK14" s="137" t="s">
        <v>13845</v>
      </c>
      <c r="TDL14" s="137" t="s">
        <v>13846</v>
      </c>
      <c r="TDM14" s="137" t="s">
        <v>13847</v>
      </c>
      <c r="TDN14" s="137" t="s">
        <v>13848</v>
      </c>
      <c r="TDO14" s="137" t="s">
        <v>13849</v>
      </c>
      <c r="TDP14" s="137" t="s">
        <v>13850</v>
      </c>
      <c r="TDQ14" s="137" t="s">
        <v>13851</v>
      </c>
      <c r="TDR14" s="137" t="s">
        <v>13852</v>
      </c>
      <c r="TDS14" s="137" t="s">
        <v>13853</v>
      </c>
      <c r="TDT14" s="137" t="s">
        <v>13854</v>
      </c>
      <c r="TDU14" s="137" t="s">
        <v>13855</v>
      </c>
      <c r="TDV14" s="137" t="s">
        <v>13856</v>
      </c>
      <c r="TDW14" s="137" t="s">
        <v>13857</v>
      </c>
      <c r="TDX14" s="137" t="s">
        <v>13858</v>
      </c>
      <c r="TDY14" s="137" t="s">
        <v>13859</v>
      </c>
      <c r="TDZ14" s="137" t="s">
        <v>13860</v>
      </c>
      <c r="TEA14" s="137" t="s">
        <v>13861</v>
      </c>
      <c r="TEB14" s="137" t="s">
        <v>13862</v>
      </c>
      <c r="TEC14" s="137" t="s">
        <v>13863</v>
      </c>
      <c r="TED14" s="137" t="s">
        <v>13864</v>
      </c>
      <c r="TEE14" s="137" t="s">
        <v>13865</v>
      </c>
      <c r="TEF14" s="137" t="s">
        <v>13866</v>
      </c>
      <c r="TEG14" s="137" t="s">
        <v>13867</v>
      </c>
      <c r="TEH14" s="137" t="s">
        <v>13868</v>
      </c>
      <c r="TEI14" s="137" t="s">
        <v>13869</v>
      </c>
      <c r="TEJ14" s="137" t="s">
        <v>13870</v>
      </c>
      <c r="TEK14" s="137" t="s">
        <v>13871</v>
      </c>
      <c r="TEL14" s="137" t="s">
        <v>13872</v>
      </c>
      <c r="TEM14" s="137" t="s">
        <v>13873</v>
      </c>
      <c r="TEN14" s="137" t="s">
        <v>13874</v>
      </c>
      <c r="TEO14" s="137" t="s">
        <v>13875</v>
      </c>
      <c r="TEP14" s="137" t="s">
        <v>13876</v>
      </c>
      <c r="TEQ14" s="137" t="s">
        <v>13877</v>
      </c>
      <c r="TER14" s="137" t="s">
        <v>13878</v>
      </c>
      <c r="TES14" s="137" t="s">
        <v>13879</v>
      </c>
      <c r="TET14" s="137" t="s">
        <v>13880</v>
      </c>
      <c r="TEU14" s="137" t="s">
        <v>13881</v>
      </c>
      <c r="TEV14" s="137" t="s">
        <v>13882</v>
      </c>
      <c r="TEW14" s="137" t="s">
        <v>13883</v>
      </c>
      <c r="TEX14" s="137" t="s">
        <v>13884</v>
      </c>
      <c r="TEY14" s="137" t="s">
        <v>13885</v>
      </c>
      <c r="TEZ14" s="137" t="s">
        <v>13886</v>
      </c>
      <c r="TFA14" s="137" t="s">
        <v>13887</v>
      </c>
      <c r="TFB14" s="137" t="s">
        <v>13888</v>
      </c>
      <c r="TFC14" s="137" t="s">
        <v>13889</v>
      </c>
      <c r="TFD14" s="137" t="s">
        <v>13890</v>
      </c>
      <c r="TFE14" s="137" t="s">
        <v>13891</v>
      </c>
      <c r="TFF14" s="137" t="s">
        <v>13892</v>
      </c>
      <c r="TFG14" s="137" t="s">
        <v>13893</v>
      </c>
      <c r="TFH14" s="137" t="s">
        <v>13894</v>
      </c>
      <c r="TFI14" s="137" t="s">
        <v>13895</v>
      </c>
      <c r="TFJ14" s="137" t="s">
        <v>13896</v>
      </c>
      <c r="TFK14" s="137" t="s">
        <v>13897</v>
      </c>
      <c r="TFL14" s="137" t="s">
        <v>13898</v>
      </c>
      <c r="TFM14" s="137" t="s">
        <v>13899</v>
      </c>
      <c r="TFN14" s="137" t="s">
        <v>13900</v>
      </c>
      <c r="TFO14" s="137" t="s">
        <v>13901</v>
      </c>
      <c r="TFP14" s="137" t="s">
        <v>13902</v>
      </c>
      <c r="TFQ14" s="137" t="s">
        <v>13903</v>
      </c>
      <c r="TFR14" s="137" t="s">
        <v>13904</v>
      </c>
      <c r="TFS14" s="137" t="s">
        <v>13905</v>
      </c>
      <c r="TFT14" s="137" t="s">
        <v>13906</v>
      </c>
      <c r="TFU14" s="137" t="s">
        <v>13907</v>
      </c>
      <c r="TFV14" s="137" t="s">
        <v>13908</v>
      </c>
      <c r="TFW14" s="137" t="s">
        <v>13909</v>
      </c>
      <c r="TFX14" s="137" t="s">
        <v>13910</v>
      </c>
      <c r="TFY14" s="137" t="s">
        <v>13911</v>
      </c>
      <c r="TFZ14" s="137" t="s">
        <v>13912</v>
      </c>
      <c r="TGA14" s="137" t="s">
        <v>13913</v>
      </c>
      <c r="TGB14" s="137" t="s">
        <v>13914</v>
      </c>
      <c r="TGC14" s="137" t="s">
        <v>13915</v>
      </c>
      <c r="TGD14" s="137" t="s">
        <v>13916</v>
      </c>
      <c r="TGE14" s="137" t="s">
        <v>13917</v>
      </c>
      <c r="TGF14" s="137" t="s">
        <v>13918</v>
      </c>
      <c r="TGG14" s="137" t="s">
        <v>13919</v>
      </c>
      <c r="TGH14" s="137" t="s">
        <v>13920</v>
      </c>
      <c r="TGI14" s="137" t="s">
        <v>13921</v>
      </c>
      <c r="TGJ14" s="137" t="s">
        <v>13922</v>
      </c>
      <c r="TGK14" s="137" t="s">
        <v>13923</v>
      </c>
      <c r="TGL14" s="137" t="s">
        <v>13924</v>
      </c>
      <c r="TGM14" s="137" t="s">
        <v>13925</v>
      </c>
      <c r="TGN14" s="137" t="s">
        <v>13926</v>
      </c>
      <c r="TGO14" s="137" t="s">
        <v>13927</v>
      </c>
      <c r="TGP14" s="137" t="s">
        <v>13928</v>
      </c>
      <c r="TGQ14" s="137" t="s">
        <v>13929</v>
      </c>
      <c r="TGR14" s="137" t="s">
        <v>13930</v>
      </c>
      <c r="TGS14" s="137" t="s">
        <v>13931</v>
      </c>
      <c r="TGT14" s="137" t="s">
        <v>13932</v>
      </c>
      <c r="TGU14" s="137" t="s">
        <v>13933</v>
      </c>
      <c r="TGV14" s="137" t="s">
        <v>13934</v>
      </c>
      <c r="TGW14" s="137" t="s">
        <v>13935</v>
      </c>
      <c r="TGX14" s="137" t="s">
        <v>13936</v>
      </c>
      <c r="TGY14" s="137" t="s">
        <v>13937</v>
      </c>
      <c r="TGZ14" s="137" t="s">
        <v>13938</v>
      </c>
      <c r="THA14" s="137" t="s">
        <v>13939</v>
      </c>
      <c r="THB14" s="137" t="s">
        <v>13940</v>
      </c>
      <c r="THC14" s="137" t="s">
        <v>13941</v>
      </c>
      <c r="THD14" s="137" t="s">
        <v>13942</v>
      </c>
      <c r="THE14" s="137" t="s">
        <v>13943</v>
      </c>
      <c r="THF14" s="137" t="s">
        <v>13944</v>
      </c>
      <c r="THG14" s="137" t="s">
        <v>13945</v>
      </c>
      <c r="THH14" s="137" t="s">
        <v>13946</v>
      </c>
      <c r="THI14" s="137" t="s">
        <v>13947</v>
      </c>
      <c r="THJ14" s="137" t="s">
        <v>13948</v>
      </c>
      <c r="THK14" s="137" t="s">
        <v>13949</v>
      </c>
      <c r="THL14" s="137" t="s">
        <v>13950</v>
      </c>
      <c r="THM14" s="137" t="s">
        <v>13951</v>
      </c>
      <c r="THN14" s="137" t="s">
        <v>13952</v>
      </c>
      <c r="THO14" s="137" t="s">
        <v>13953</v>
      </c>
      <c r="THP14" s="137" t="s">
        <v>13954</v>
      </c>
      <c r="THQ14" s="137" t="s">
        <v>13955</v>
      </c>
      <c r="THR14" s="137" t="s">
        <v>13956</v>
      </c>
      <c r="THS14" s="137" t="s">
        <v>13957</v>
      </c>
      <c r="THT14" s="137" t="s">
        <v>13958</v>
      </c>
      <c r="THU14" s="137" t="s">
        <v>13959</v>
      </c>
      <c r="THV14" s="137" t="s">
        <v>13960</v>
      </c>
      <c r="THW14" s="137" t="s">
        <v>13961</v>
      </c>
      <c r="THX14" s="137" t="s">
        <v>13962</v>
      </c>
      <c r="THY14" s="137" t="s">
        <v>13963</v>
      </c>
      <c r="THZ14" s="137" t="s">
        <v>13964</v>
      </c>
      <c r="TIA14" s="137" t="s">
        <v>13965</v>
      </c>
      <c r="TIB14" s="137" t="s">
        <v>13966</v>
      </c>
      <c r="TIC14" s="137" t="s">
        <v>13967</v>
      </c>
      <c r="TID14" s="137" t="s">
        <v>13968</v>
      </c>
      <c r="TIE14" s="137" t="s">
        <v>13969</v>
      </c>
      <c r="TIF14" s="137" t="s">
        <v>13970</v>
      </c>
      <c r="TIG14" s="137" t="s">
        <v>13971</v>
      </c>
      <c r="TIH14" s="137" t="s">
        <v>13972</v>
      </c>
      <c r="TII14" s="137" t="s">
        <v>13973</v>
      </c>
      <c r="TIJ14" s="137" t="s">
        <v>13974</v>
      </c>
      <c r="TIK14" s="137" t="s">
        <v>13975</v>
      </c>
      <c r="TIL14" s="137" t="s">
        <v>13976</v>
      </c>
      <c r="TIM14" s="137" t="s">
        <v>13977</v>
      </c>
      <c r="TIN14" s="137" t="s">
        <v>13978</v>
      </c>
      <c r="TIO14" s="137" t="s">
        <v>13979</v>
      </c>
      <c r="TIP14" s="137" t="s">
        <v>13980</v>
      </c>
      <c r="TIQ14" s="137" t="s">
        <v>13981</v>
      </c>
      <c r="TIR14" s="137" t="s">
        <v>13982</v>
      </c>
      <c r="TIS14" s="137" t="s">
        <v>13983</v>
      </c>
      <c r="TIT14" s="137" t="s">
        <v>13984</v>
      </c>
      <c r="TIU14" s="137" t="s">
        <v>13985</v>
      </c>
      <c r="TIV14" s="137" t="s">
        <v>13986</v>
      </c>
      <c r="TIW14" s="137" t="s">
        <v>13987</v>
      </c>
      <c r="TIX14" s="137" t="s">
        <v>13988</v>
      </c>
      <c r="TIY14" s="137" t="s">
        <v>13989</v>
      </c>
      <c r="TIZ14" s="137" t="s">
        <v>13990</v>
      </c>
      <c r="TJA14" s="137" t="s">
        <v>13991</v>
      </c>
      <c r="TJB14" s="137" t="s">
        <v>13992</v>
      </c>
      <c r="TJC14" s="137" t="s">
        <v>13993</v>
      </c>
      <c r="TJD14" s="137" t="s">
        <v>13994</v>
      </c>
      <c r="TJE14" s="137" t="s">
        <v>13995</v>
      </c>
      <c r="TJF14" s="137" t="s">
        <v>13996</v>
      </c>
      <c r="TJG14" s="137" t="s">
        <v>13997</v>
      </c>
      <c r="TJH14" s="137" t="s">
        <v>13998</v>
      </c>
      <c r="TJI14" s="137" t="s">
        <v>13999</v>
      </c>
      <c r="TJJ14" s="137" t="s">
        <v>14000</v>
      </c>
      <c r="TJK14" s="137" t="s">
        <v>14001</v>
      </c>
      <c r="TJL14" s="137" t="s">
        <v>14002</v>
      </c>
      <c r="TJM14" s="137" t="s">
        <v>14003</v>
      </c>
      <c r="TJN14" s="137" t="s">
        <v>14004</v>
      </c>
      <c r="TJO14" s="137" t="s">
        <v>14005</v>
      </c>
      <c r="TJP14" s="137" t="s">
        <v>14006</v>
      </c>
      <c r="TJQ14" s="137" t="s">
        <v>14007</v>
      </c>
      <c r="TJR14" s="137" t="s">
        <v>14008</v>
      </c>
      <c r="TJS14" s="137" t="s">
        <v>14009</v>
      </c>
      <c r="TJT14" s="137" t="s">
        <v>14010</v>
      </c>
      <c r="TJU14" s="137" t="s">
        <v>14011</v>
      </c>
      <c r="TJV14" s="137" t="s">
        <v>14012</v>
      </c>
      <c r="TJW14" s="137" t="s">
        <v>14013</v>
      </c>
      <c r="TJX14" s="137" t="s">
        <v>14014</v>
      </c>
      <c r="TJY14" s="137" t="s">
        <v>14015</v>
      </c>
      <c r="TJZ14" s="137" t="s">
        <v>14016</v>
      </c>
      <c r="TKA14" s="137" t="s">
        <v>14017</v>
      </c>
      <c r="TKB14" s="137" t="s">
        <v>14018</v>
      </c>
      <c r="TKC14" s="137" t="s">
        <v>14019</v>
      </c>
      <c r="TKD14" s="137" t="s">
        <v>14020</v>
      </c>
      <c r="TKE14" s="137" t="s">
        <v>14021</v>
      </c>
      <c r="TKF14" s="137" t="s">
        <v>14022</v>
      </c>
      <c r="TKG14" s="137" t="s">
        <v>14023</v>
      </c>
      <c r="TKH14" s="137" t="s">
        <v>14024</v>
      </c>
      <c r="TKI14" s="137" t="s">
        <v>14025</v>
      </c>
      <c r="TKJ14" s="137" t="s">
        <v>14026</v>
      </c>
      <c r="TKK14" s="137" t="s">
        <v>14027</v>
      </c>
      <c r="TKL14" s="137" t="s">
        <v>14028</v>
      </c>
      <c r="TKM14" s="137" t="s">
        <v>14029</v>
      </c>
      <c r="TKN14" s="137" t="s">
        <v>14030</v>
      </c>
      <c r="TKO14" s="137" t="s">
        <v>14031</v>
      </c>
      <c r="TKP14" s="137" t="s">
        <v>14032</v>
      </c>
      <c r="TKQ14" s="137" t="s">
        <v>14033</v>
      </c>
      <c r="TKR14" s="137" t="s">
        <v>14034</v>
      </c>
      <c r="TKS14" s="137" t="s">
        <v>14035</v>
      </c>
      <c r="TKT14" s="137" t="s">
        <v>14036</v>
      </c>
      <c r="TKU14" s="137" t="s">
        <v>14037</v>
      </c>
      <c r="TKV14" s="137" t="s">
        <v>14038</v>
      </c>
      <c r="TKW14" s="137" t="s">
        <v>14039</v>
      </c>
      <c r="TKX14" s="137" t="s">
        <v>14040</v>
      </c>
      <c r="TKY14" s="137" t="s">
        <v>14041</v>
      </c>
      <c r="TKZ14" s="137" t="s">
        <v>14042</v>
      </c>
      <c r="TLA14" s="137" t="s">
        <v>14043</v>
      </c>
      <c r="TLB14" s="137" t="s">
        <v>14044</v>
      </c>
      <c r="TLC14" s="137" t="s">
        <v>14045</v>
      </c>
      <c r="TLD14" s="137" t="s">
        <v>14046</v>
      </c>
      <c r="TLE14" s="137" t="s">
        <v>14047</v>
      </c>
      <c r="TLF14" s="137" t="s">
        <v>14048</v>
      </c>
      <c r="TLG14" s="137" t="s">
        <v>14049</v>
      </c>
      <c r="TLH14" s="137" t="s">
        <v>14050</v>
      </c>
      <c r="TLI14" s="137" t="s">
        <v>14051</v>
      </c>
      <c r="TLJ14" s="137" t="s">
        <v>14052</v>
      </c>
      <c r="TLK14" s="137" t="s">
        <v>14053</v>
      </c>
      <c r="TLL14" s="137" t="s">
        <v>14054</v>
      </c>
      <c r="TLM14" s="137" t="s">
        <v>14055</v>
      </c>
      <c r="TLN14" s="137" t="s">
        <v>14056</v>
      </c>
      <c r="TLO14" s="137" t="s">
        <v>14057</v>
      </c>
      <c r="TLP14" s="137" t="s">
        <v>14058</v>
      </c>
      <c r="TLQ14" s="137" t="s">
        <v>14059</v>
      </c>
      <c r="TLR14" s="137" t="s">
        <v>14060</v>
      </c>
      <c r="TLS14" s="137" t="s">
        <v>14061</v>
      </c>
      <c r="TLT14" s="137" t="s">
        <v>14062</v>
      </c>
      <c r="TLU14" s="137" t="s">
        <v>14063</v>
      </c>
      <c r="TLV14" s="137" t="s">
        <v>14064</v>
      </c>
      <c r="TLW14" s="137" t="s">
        <v>14065</v>
      </c>
      <c r="TLX14" s="137" t="s">
        <v>14066</v>
      </c>
      <c r="TLY14" s="137" t="s">
        <v>14067</v>
      </c>
      <c r="TLZ14" s="137" t="s">
        <v>14068</v>
      </c>
      <c r="TMA14" s="137" t="s">
        <v>14069</v>
      </c>
      <c r="TMB14" s="137" t="s">
        <v>14070</v>
      </c>
      <c r="TMC14" s="137" t="s">
        <v>14071</v>
      </c>
      <c r="TMD14" s="137" t="s">
        <v>14072</v>
      </c>
      <c r="TME14" s="137" t="s">
        <v>14073</v>
      </c>
      <c r="TMF14" s="137" t="s">
        <v>14074</v>
      </c>
      <c r="TMG14" s="137" t="s">
        <v>14075</v>
      </c>
      <c r="TMH14" s="137" t="s">
        <v>14076</v>
      </c>
      <c r="TMI14" s="137" t="s">
        <v>14077</v>
      </c>
      <c r="TMJ14" s="137" t="s">
        <v>14078</v>
      </c>
      <c r="TMK14" s="137" t="s">
        <v>14079</v>
      </c>
      <c r="TML14" s="137" t="s">
        <v>14080</v>
      </c>
      <c r="TMM14" s="137" t="s">
        <v>14081</v>
      </c>
      <c r="TMN14" s="137" t="s">
        <v>14082</v>
      </c>
      <c r="TMO14" s="137" t="s">
        <v>14083</v>
      </c>
      <c r="TMP14" s="137" t="s">
        <v>14084</v>
      </c>
      <c r="TMQ14" s="137" t="s">
        <v>14085</v>
      </c>
      <c r="TMR14" s="137" t="s">
        <v>14086</v>
      </c>
      <c r="TMS14" s="137" t="s">
        <v>14087</v>
      </c>
      <c r="TMT14" s="137" t="s">
        <v>14088</v>
      </c>
      <c r="TMU14" s="137" t="s">
        <v>14089</v>
      </c>
      <c r="TMV14" s="137" t="s">
        <v>14090</v>
      </c>
      <c r="TMW14" s="137" t="s">
        <v>14091</v>
      </c>
      <c r="TMX14" s="137" t="s">
        <v>14092</v>
      </c>
      <c r="TMY14" s="137" t="s">
        <v>14093</v>
      </c>
      <c r="TMZ14" s="137" t="s">
        <v>14094</v>
      </c>
      <c r="TNA14" s="137" t="s">
        <v>14095</v>
      </c>
      <c r="TNB14" s="137" t="s">
        <v>14096</v>
      </c>
      <c r="TNC14" s="137" t="s">
        <v>14097</v>
      </c>
      <c r="TND14" s="137" t="s">
        <v>14098</v>
      </c>
      <c r="TNE14" s="137" t="s">
        <v>14099</v>
      </c>
      <c r="TNF14" s="137" t="s">
        <v>14100</v>
      </c>
      <c r="TNG14" s="137" t="s">
        <v>14101</v>
      </c>
      <c r="TNH14" s="137" t="s">
        <v>14102</v>
      </c>
      <c r="TNI14" s="137" t="s">
        <v>14103</v>
      </c>
      <c r="TNJ14" s="137" t="s">
        <v>14104</v>
      </c>
      <c r="TNK14" s="137" t="s">
        <v>14105</v>
      </c>
      <c r="TNL14" s="137" t="s">
        <v>14106</v>
      </c>
      <c r="TNM14" s="137" t="s">
        <v>14107</v>
      </c>
      <c r="TNN14" s="137" t="s">
        <v>14108</v>
      </c>
      <c r="TNO14" s="137" t="s">
        <v>14109</v>
      </c>
      <c r="TNP14" s="137" t="s">
        <v>14110</v>
      </c>
      <c r="TNQ14" s="137" t="s">
        <v>14111</v>
      </c>
      <c r="TNR14" s="137" t="s">
        <v>14112</v>
      </c>
      <c r="TNS14" s="137" t="s">
        <v>14113</v>
      </c>
      <c r="TNT14" s="137" t="s">
        <v>14114</v>
      </c>
      <c r="TNU14" s="137" t="s">
        <v>14115</v>
      </c>
      <c r="TNV14" s="137" t="s">
        <v>14116</v>
      </c>
      <c r="TNW14" s="137" t="s">
        <v>14117</v>
      </c>
      <c r="TNX14" s="137" t="s">
        <v>14118</v>
      </c>
      <c r="TNY14" s="137" t="s">
        <v>14119</v>
      </c>
      <c r="TNZ14" s="137" t="s">
        <v>14120</v>
      </c>
      <c r="TOA14" s="137" t="s">
        <v>14121</v>
      </c>
      <c r="TOB14" s="137" t="s">
        <v>14122</v>
      </c>
      <c r="TOC14" s="137" t="s">
        <v>14123</v>
      </c>
      <c r="TOD14" s="137" t="s">
        <v>14124</v>
      </c>
      <c r="TOE14" s="137" t="s">
        <v>14125</v>
      </c>
      <c r="TOF14" s="137" t="s">
        <v>14126</v>
      </c>
      <c r="TOG14" s="137" t="s">
        <v>14127</v>
      </c>
      <c r="TOH14" s="137" t="s">
        <v>14128</v>
      </c>
      <c r="TOI14" s="137" t="s">
        <v>14129</v>
      </c>
      <c r="TOJ14" s="137" t="s">
        <v>14130</v>
      </c>
      <c r="TOK14" s="137" t="s">
        <v>14131</v>
      </c>
      <c r="TOL14" s="137" t="s">
        <v>14132</v>
      </c>
      <c r="TOM14" s="137" t="s">
        <v>14133</v>
      </c>
      <c r="TON14" s="137" t="s">
        <v>14134</v>
      </c>
      <c r="TOO14" s="137" t="s">
        <v>14135</v>
      </c>
      <c r="TOP14" s="137" t="s">
        <v>14136</v>
      </c>
      <c r="TOQ14" s="137" t="s">
        <v>14137</v>
      </c>
      <c r="TOR14" s="137" t="s">
        <v>14138</v>
      </c>
      <c r="TOS14" s="137" t="s">
        <v>14139</v>
      </c>
      <c r="TOT14" s="137" t="s">
        <v>14140</v>
      </c>
      <c r="TOU14" s="137" t="s">
        <v>14141</v>
      </c>
      <c r="TOV14" s="137" t="s">
        <v>14142</v>
      </c>
      <c r="TOW14" s="137" t="s">
        <v>14143</v>
      </c>
      <c r="TOX14" s="137" t="s">
        <v>14144</v>
      </c>
      <c r="TOY14" s="137" t="s">
        <v>14145</v>
      </c>
      <c r="TOZ14" s="137" t="s">
        <v>14146</v>
      </c>
      <c r="TPA14" s="137" t="s">
        <v>14147</v>
      </c>
      <c r="TPB14" s="137" t="s">
        <v>14148</v>
      </c>
      <c r="TPC14" s="137" t="s">
        <v>14149</v>
      </c>
      <c r="TPD14" s="137" t="s">
        <v>14150</v>
      </c>
      <c r="TPE14" s="137" t="s">
        <v>14151</v>
      </c>
      <c r="TPF14" s="137" t="s">
        <v>14152</v>
      </c>
      <c r="TPG14" s="137" t="s">
        <v>14153</v>
      </c>
      <c r="TPH14" s="137" t="s">
        <v>14154</v>
      </c>
      <c r="TPI14" s="137" t="s">
        <v>14155</v>
      </c>
      <c r="TPJ14" s="137" t="s">
        <v>14156</v>
      </c>
      <c r="TPK14" s="137" t="s">
        <v>14157</v>
      </c>
      <c r="TPL14" s="137" t="s">
        <v>14158</v>
      </c>
      <c r="TPM14" s="137" t="s">
        <v>14159</v>
      </c>
      <c r="TPN14" s="137" t="s">
        <v>14160</v>
      </c>
      <c r="TPO14" s="137" t="s">
        <v>14161</v>
      </c>
      <c r="TPP14" s="137" t="s">
        <v>14162</v>
      </c>
      <c r="TPQ14" s="137" t="s">
        <v>14163</v>
      </c>
      <c r="TPR14" s="137" t="s">
        <v>14164</v>
      </c>
      <c r="TPS14" s="137" t="s">
        <v>14165</v>
      </c>
      <c r="TPT14" s="137" t="s">
        <v>14166</v>
      </c>
      <c r="TPU14" s="137" t="s">
        <v>14167</v>
      </c>
      <c r="TPV14" s="137" t="s">
        <v>14168</v>
      </c>
      <c r="TPW14" s="137" t="s">
        <v>14169</v>
      </c>
      <c r="TPX14" s="137" t="s">
        <v>14170</v>
      </c>
      <c r="TPY14" s="137" t="s">
        <v>14171</v>
      </c>
      <c r="TPZ14" s="137" t="s">
        <v>14172</v>
      </c>
      <c r="TQA14" s="137" t="s">
        <v>14173</v>
      </c>
      <c r="TQB14" s="137" t="s">
        <v>14174</v>
      </c>
      <c r="TQC14" s="137" t="s">
        <v>14175</v>
      </c>
      <c r="TQD14" s="137" t="s">
        <v>14176</v>
      </c>
      <c r="TQE14" s="137" t="s">
        <v>14177</v>
      </c>
      <c r="TQF14" s="137" t="s">
        <v>14178</v>
      </c>
      <c r="TQG14" s="137" t="s">
        <v>14179</v>
      </c>
      <c r="TQH14" s="137" t="s">
        <v>14180</v>
      </c>
      <c r="TQI14" s="137" t="s">
        <v>14181</v>
      </c>
      <c r="TQJ14" s="137" t="s">
        <v>14182</v>
      </c>
      <c r="TQK14" s="137" t="s">
        <v>14183</v>
      </c>
      <c r="TQL14" s="137" t="s">
        <v>14184</v>
      </c>
      <c r="TQM14" s="137" t="s">
        <v>14185</v>
      </c>
      <c r="TQN14" s="137" t="s">
        <v>14186</v>
      </c>
      <c r="TQO14" s="137" t="s">
        <v>14187</v>
      </c>
      <c r="TQP14" s="137" t="s">
        <v>14188</v>
      </c>
      <c r="TQQ14" s="137" t="s">
        <v>14189</v>
      </c>
      <c r="TQR14" s="137" t="s">
        <v>14190</v>
      </c>
      <c r="TQS14" s="137" t="s">
        <v>14191</v>
      </c>
      <c r="TQT14" s="137" t="s">
        <v>14192</v>
      </c>
      <c r="TQU14" s="137" t="s">
        <v>14193</v>
      </c>
      <c r="TQV14" s="137" t="s">
        <v>14194</v>
      </c>
      <c r="TQW14" s="137" t="s">
        <v>14195</v>
      </c>
      <c r="TQX14" s="137" t="s">
        <v>14196</v>
      </c>
      <c r="TQY14" s="137" t="s">
        <v>14197</v>
      </c>
      <c r="TQZ14" s="137" t="s">
        <v>14198</v>
      </c>
      <c r="TRA14" s="137" t="s">
        <v>14199</v>
      </c>
      <c r="TRB14" s="137" t="s">
        <v>14200</v>
      </c>
      <c r="TRC14" s="137" t="s">
        <v>14201</v>
      </c>
      <c r="TRD14" s="137" t="s">
        <v>14202</v>
      </c>
      <c r="TRE14" s="137" t="s">
        <v>14203</v>
      </c>
      <c r="TRF14" s="137" t="s">
        <v>14204</v>
      </c>
      <c r="TRG14" s="137" t="s">
        <v>14205</v>
      </c>
      <c r="TRH14" s="137" t="s">
        <v>14206</v>
      </c>
      <c r="TRI14" s="137" t="s">
        <v>14207</v>
      </c>
      <c r="TRJ14" s="137" t="s">
        <v>14208</v>
      </c>
      <c r="TRK14" s="137" t="s">
        <v>14209</v>
      </c>
      <c r="TRL14" s="137" t="s">
        <v>14210</v>
      </c>
      <c r="TRM14" s="137" t="s">
        <v>14211</v>
      </c>
      <c r="TRN14" s="137" t="s">
        <v>14212</v>
      </c>
      <c r="TRO14" s="137" t="s">
        <v>14213</v>
      </c>
      <c r="TRP14" s="137" t="s">
        <v>14214</v>
      </c>
      <c r="TRQ14" s="137" t="s">
        <v>14215</v>
      </c>
      <c r="TRR14" s="137" t="s">
        <v>14216</v>
      </c>
      <c r="TRS14" s="137" t="s">
        <v>14217</v>
      </c>
      <c r="TRT14" s="137" t="s">
        <v>14218</v>
      </c>
      <c r="TRU14" s="137" t="s">
        <v>14219</v>
      </c>
      <c r="TRV14" s="137" t="s">
        <v>14220</v>
      </c>
      <c r="TRW14" s="137" t="s">
        <v>14221</v>
      </c>
      <c r="TRX14" s="137" t="s">
        <v>14222</v>
      </c>
      <c r="TRY14" s="137" t="s">
        <v>14223</v>
      </c>
      <c r="TRZ14" s="137" t="s">
        <v>14224</v>
      </c>
      <c r="TSA14" s="137" t="s">
        <v>14225</v>
      </c>
      <c r="TSB14" s="137" t="s">
        <v>14226</v>
      </c>
      <c r="TSC14" s="137" t="s">
        <v>14227</v>
      </c>
      <c r="TSD14" s="137" t="s">
        <v>14228</v>
      </c>
      <c r="TSE14" s="137" t="s">
        <v>14229</v>
      </c>
      <c r="TSF14" s="137" t="s">
        <v>14230</v>
      </c>
      <c r="TSG14" s="137" t="s">
        <v>14231</v>
      </c>
      <c r="TSH14" s="137" t="s">
        <v>14232</v>
      </c>
      <c r="TSI14" s="137" t="s">
        <v>14233</v>
      </c>
      <c r="TSJ14" s="137" t="s">
        <v>14234</v>
      </c>
      <c r="TSK14" s="137" t="s">
        <v>14235</v>
      </c>
      <c r="TSL14" s="137" t="s">
        <v>14236</v>
      </c>
      <c r="TSM14" s="137" t="s">
        <v>14237</v>
      </c>
      <c r="TSN14" s="137" t="s">
        <v>14238</v>
      </c>
      <c r="TSO14" s="137" t="s">
        <v>14239</v>
      </c>
      <c r="TSP14" s="137" t="s">
        <v>14240</v>
      </c>
      <c r="TSQ14" s="137" t="s">
        <v>14241</v>
      </c>
      <c r="TSR14" s="137" t="s">
        <v>14242</v>
      </c>
      <c r="TSS14" s="137" t="s">
        <v>14243</v>
      </c>
      <c r="TST14" s="137" t="s">
        <v>14244</v>
      </c>
      <c r="TSU14" s="137" t="s">
        <v>14245</v>
      </c>
      <c r="TSV14" s="137" t="s">
        <v>14246</v>
      </c>
      <c r="TSW14" s="137" t="s">
        <v>14247</v>
      </c>
      <c r="TSX14" s="137" t="s">
        <v>14248</v>
      </c>
      <c r="TSY14" s="137" t="s">
        <v>14249</v>
      </c>
      <c r="TSZ14" s="137" t="s">
        <v>14250</v>
      </c>
      <c r="TTA14" s="137" t="s">
        <v>14251</v>
      </c>
      <c r="TTB14" s="137" t="s">
        <v>14252</v>
      </c>
      <c r="TTC14" s="137" t="s">
        <v>14253</v>
      </c>
      <c r="TTD14" s="137" t="s">
        <v>14254</v>
      </c>
      <c r="TTE14" s="137" t="s">
        <v>14255</v>
      </c>
      <c r="TTF14" s="137" t="s">
        <v>14256</v>
      </c>
      <c r="TTG14" s="137" t="s">
        <v>14257</v>
      </c>
      <c r="TTH14" s="137" t="s">
        <v>14258</v>
      </c>
      <c r="TTI14" s="137" t="s">
        <v>14259</v>
      </c>
      <c r="TTJ14" s="137" t="s">
        <v>14260</v>
      </c>
      <c r="TTK14" s="137" t="s">
        <v>14261</v>
      </c>
      <c r="TTL14" s="137" t="s">
        <v>14262</v>
      </c>
      <c r="TTM14" s="137" t="s">
        <v>14263</v>
      </c>
      <c r="TTN14" s="137" t="s">
        <v>14264</v>
      </c>
      <c r="TTO14" s="137" t="s">
        <v>14265</v>
      </c>
      <c r="TTP14" s="137" t="s">
        <v>14266</v>
      </c>
      <c r="TTQ14" s="137" t="s">
        <v>14267</v>
      </c>
      <c r="TTR14" s="137" t="s">
        <v>14268</v>
      </c>
      <c r="TTS14" s="137" t="s">
        <v>14269</v>
      </c>
      <c r="TTT14" s="137" t="s">
        <v>14270</v>
      </c>
      <c r="TTU14" s="137" t="s">
        <v>14271</v>
      </c>
      <c r="TTV14" s="137" t="s">
        <v>14272</v>
      </c>
      <c r="TTW14" s="137" t="s">
        <v>14273</v>
      </c>
      <c r="TTX14" s="137" t="s">
        <v>14274</v>
      </c>
      <c r="TTY14" s="137" t="s">
        <v>14275</v>
      </c>
      <c r="TTZ14" s="137" t="s">
        <v>14276</v>
      </c>
      <c r="TUA14" s="137" t="s">
        <v>14277</v>
      </c>
      <c r="TUB14" s="137" t="s">
        <v>14278</v>
      </c>
      <c r="TUC14" s="137" t="s">
        <v>14279</v>
      </c>
      <c r="TUD14" s="137" t="s">
        <v>14280</v>
      </c>
      <c r="TUE14" s="137" t="s">
        <v>14281</v>
      </c>
      <c r="TUF14" s="137" t="s">
        <v>14282</v>
      </c>
      <c r="TUG14" s="137" t="s">
        <v>14283</v>
      </c>
      <c r="TUH14" s="137" t="s">
        <v>14284</v>
      </c>
      <c r="TUI14" s="137" t="s">
        <v>14285</v>
      </c>
      <c r="TUJ14" s="137" t="s">
        <v>14286</v>
      </c>
      <c r="TUK14" s="137" t="s">
        <v>14287</v>
      </c>
      <c r="TUL14" s="137" t="s">
        <v>14288</v>
      </c>
      <c r="TUM14" s="137" t="s">
        <v>14289</v>
      </c>
      <c r="TUN14" s="137" t="s">
        <v>14290</v>
      </c>
      <c r="TUO14" s="137" t="s">
        <v>14291</v>
      </c>
      <c r="TUP14" s="137" t="s">
        <v>14292</v>
      </c>
      <c r="TUQ14" s="137" t="s">
        <v>14293</v>
      </c>
      <c r="TUR14" s="137" t="s">
        <v>14294</v>
      </c>
      <c r="TUS14" s="137" t="s">
        <v>14295</v>
      </c>
      <c r="TUT14" s="137" t="s">
        <v>14296</v>
      </c>
      <c r="TUU14" s="137" t="s">
        <v>14297</v>
      </c>
      <c r="TUV14" s="137" t="s">
        <v>14298</v>
      </c>
      <c r="TUW14" s="137" t="s">
        <v>14299</v>
      </c>
      <c r="TUX14" s="137" t="s">
        <v>14300</v>
      </c>
      <c r="TUY14" s="137" t="s">
        <v>14301</v>
      </c>
      <c r="TUZ14" s="137" t="s">
        <v>14302</v>
      </c>
      <c r="TVA14" s="137" t="s">
        <v>14303</v>
      </c>
      <c r="TVB14" s="137" t="s">
        <v>14304</v>
      </c>
      <c r="TVC14" s="137" t="s">
        <v>14305</v>
      </c>
      <c r="TVD14" s="137" t="s">
        <v>14306</v>
      </c>
      <c r="TVE14" s="137" t="s">
        <v>14307</v>
      </c>
      <c r="TVF14" s="137" t="s">
        <v>14308</v>
      </c>
      <c r="TVG14" s="137" t="s">
        <v>14309</v>
      </c>
      <c r="TVH14" s="137" t="s">
        <v>14310</v>
      </c>
      <c r="TVI14" s="137" t="s">
        <v>14311</v>
      </c>
      <c r="TVJ14" s="137" t="s">
        <v>14312</v>
      </c>
      <c r="TVK14" s="137" t="s">
        <v>14313</v>
      </c>
      <c r="TVL14" s="137" t="s">
        <v>14314</v>
      </c>
      <c r="TVM14" s="137" t="s">
        <v>14315</v>
      </c>
      <c r="TVN14" s="137" t="s">
        <v>14316</v>
      </c>
      <c r="TVO14" s="137" t="s">
        <v>14317</v>
      </c>
      <c r="TVP14" s="137" t="s">
        <v>14318</v>
      </c>
      <c r="TVQ14" s="137" t="s">
        <v>14319</v>
      </c>
      <c r="TVR14" s="137" t="s">
        <v>14320</v>
      </c>
      <c r="TVS14" s="137" t="s">
        <v>14321</v>
      </c>
      <c r="TVT14" s="137" t="s">
        <v>14322</v>
      </c>
      <c r="TVU14" s="137" t="s">
        <v>14323</v>
      </c>
      <c r="TVV14" s="137" t="s">
        <v>14324</v>
      </c>
      <c r="TVW14" s="137" t="s">
        <v>14325</v>
      </c>
      <c r="TVX14" s="137" t="s">
        <v>14326</v>
      </c>
      <c r="TVY14" s="137" t="s">
        <v>14327</v>
      </c>
      <c r="TVZ14" s="137" t="s">
        <v>14328</v>
      </c>
      <c r="TWA14" s="137" t="s">
        <v>14329</v>
      </c>
      <c r="TWB14" s="137" t="s">
        <v>14330</v>
      </c>
      <c r="TWC14" s="137" t="s">
        <v>14331</v>
      </c>
      <c r="TWD14" s="137" t="s">
        <v>14332</v>
      </c>
      <c r="TWE14" s="137" t="s">
        <v>14333</v>
      </c>
      <c r="TWF14" s="137" t="s">
        <v>14334</v>
      </c>
      <c r="TWG14" s="137" t="s">
        <v>14335</v>
      </c>
      <c r="TWH14" s="137" t="s">
        <v>14336</v>
      </c>
      <c r="TWI14" s="137" t="s">
        <v>14337</v>
      </c>
      <c r="TWJ14" s="137" t="s">
        <v>14338</v>
      </c>
      <c r="TWK14" s="137" t="s">
        <v>14339</v>
      </c>
      <c r="TWL14" s="137" t="s">
        <v>14340</v>
      </c>
      <c r="TWM14" s="137" t="s">
        <v>14341</v>
      </c>
      <c r="TWN14" s="137" t="s">
        <v>14342</v>
      </c>
      <c r="TWO14" s="137" t="s">
        <v>14343</v>
      </c>
      <c r="TWP14" s="137" t="s">
        <v>14344</v>
      </c>
      <c r="TWQ14" s="137" t="s">
        <v>14345</v>
      </c>
      <c r="TWR14" s="137" t="s">
        <v>14346</v>
      </c>
      <c r="TWS14" s="137" t="s">
        <v>14347</v>
      </c>
      <c r="TWT14" s="137" t="s">
        <v>14348</v>
      </c>
      <c r="TWU14" s="137" t="s">
        <v>14349</v>
      </c>
      <c r="TWV14" s="137" t="s">
        <v>14350</v>
      </c>
      <c r="TWW14" s="137" t="s">
        <v>14351</v>
      </c>
      <c r="TWX14" s="137" t="s">
        <v>14352</v>
      </c>
      <c r="TWY14" s="137" t="s">
        <v>14353</v>
      </c>
      <c r="TWZ14" s="137" t="s">
        <v>14354</v>
      </c>
      <c r="TXA14" s="137" t="s">
        <v>14355</v>
      </c>
      <c r="TXB14" s="137" t="s">
        <v>14356</v>
      </c>
      <c r="TXC14" s="137" t="s">
        <v>14357</v>
      </c>
      <c r="TXD14" s="137" t="s">
        <v>14358</v>
      </c>
      <c r="TXE14" s="137" t="s">
        <v>14359</v>
      </c>
      <c r="TXF14" s="137" t="s">
        <v>14360</v>
      </c>
      <c r="TXG14" s="137" t="s">
        <v>14361</v>
      </c>
      <c r="TXH14" s="137" t="s">
        <v>14362</v>
      </c>
      <c r="TXI14" s="137" t="s">
        <v>14363</v>
      </c>
      <c r="TXJ14" s="137" t="s">
        <v>14364</v>
      </c>
      <c r="TXK14" s="137" t="s">
        <v>14365</v>
      </c>
      <c r="TXL14" s="137" t="s">
        <v>14366</v>
      </c>
      <c r="TXM14" s="137" t="s">
        <v>14367</v>
      </c>
      <c r="TXN14" s="137" t="s">
        <v>14368</v>
      </c>
      <c r="TXO14" s="137" t="s">
        <v>14369</v>
      </c>
      <c r="TXP14" s="137" t="s">
        <v>14370</v>
      </c>
      <c r="TXQ14" s="137" t="s">
        <v>14371</v>
      </c>
      <c r="TXR14" s="137" t="s">
        <v>14372</v>
      </c>
      <c r="TXS14" s="137" t="s">
        <v>14373</v>
      </c>
      <c r="TXT14" s="137" t="s">
        <v>14374</v>
      </c>
      <c r="TXU14" s="137" t="s">
        <v>14375</v>
      </c>
      <c r="TXV14" s="137" t="s">
        <v>14376</v>
      </c>
      <c r="TXW14" s="137" t="s">
        <v>14377</v>
      </c>
      <c r="TXX14" s="137" t="s">
        <v>14378</v>
      </c>
      <c r="TXY14" s="137" t="s">
        <v>14379</v>
      </c>
      <c r="TXZ14" s="137" t="s">
        <v>14380</v>
      </c>
      <c r="TYA14" s="137" t="s">
        <v>14381</v>
      </c>
      <c r="TYB14" s="137" t="s">
        <v>14382</v>
      </c>
      <c r="TYC14" s="137" t="s">
        <v>14383</v>
      </c>
      <c r="TYD14" s="137" t="s">
        <v>14384</v>
      </c>
      <c r="TYE14" s="137" t="s">
        <v>14385</v>
      </c>
      <c r="TYF14" s="137" t="s">
        <v>14386</v>
      </c>
      <c r="TYG14" s="137" t="s">
        <v>14387</v>
      </c>
      <c r="TYH14" s="137" t="s">
        <v>14388</v>
      </c>
      <c r="TYI14" s="137" t="s">
        <v>14389</v>
      </c>
      <c r="TYJ14" s="137" t="s">
        <v>14390</v>
      </c>
      <c r="TYK14" s="137" t="s">
        <v>14391</v>
      </c>
      <c r="TYL14" s="137" t="s">
        <v>14392</v>
      </c>
      <c r="TYM14" s="137" t="s">
        <v>14393</v>
      </c>
      <c r="TYN14" s="137" t="s">
        <v>14394</v>
      </c>
      <c r="TYO14" s="137" t="s">
        <v>14395</v>
      </c>
      <c r="TYP14" s="137" t="s">
        <v>14396</v>
      </c>
      <c r="TYQ14" s="137" t="s">
        <v>14397</v>
      </c>
      <c r="TYR14" s="137" t="s">
        <v>14398</v>
      </c>
      <c r="TYS14" s="137" t="s">
        <v>14399</v>
      </c>
      <c r="TYT14" s="137" t="s">
        <v>14400</v>
      </c>
      <c r="TYU14" s="137" t="s">
        <v>14401</v>
      </c>
      <c r="TYV14" s="137" t="s">
        <v>14402</v>
      </c>
      <c r="TYW14" s="137" t="s">
        <v>14403</v>
      </c>
      <c r="TYX14" s="137" t="s">
        <v>14404</v>
      </c>
      <c r="TYY14" s="137" t="s">
        <v>14405</v>
      </c>
      <c r="TYZ14" s="137" t="s">
        <v>14406</v>
      </c>
      <c r="TZA14" s="137" t="s">
        <v>14407</v>
      </c>
      <c r="TZB14" s="137" t="s">
        <v>14408</v>
      </c>
      <c r="TZC14" s="137" t="s">
        <v>14409</v>
      </c>
      <c r="TZD14" s="137" t="s">
        <v>14410</v>
      </c>
      <c r="TZE14" s="137" t="s">
        <v>14411</v>
      </c>
      <c r="TZF14" s="137" t="s">
        <v>14412</v>
      </c>
      <c r="TZG14" s="137" t="s">
        <v>14413</v>
      </c>
      <c r="TZH14" s="137" t="s">
        <v>14414</v>
      </c>
      <c r="TZI14" s="137" t="s">
        <v>14415</v>
      </c>
      <c r="TZJ14" s="137" t="s">
        <v>14416</v>
      </c>
      <c r="TZK14" s="137" t="s">
        <v>14417</v>
      </c>
      <c r="TZL14" s="137" t="s">
        <v>14418</v>
      </c>
      <c r="TZM14" s="137" t="s">
        <v>14419</v>
      </c>
      <c r="TZN14" s="137" t="s">
        <v>14420</v>
      </c>
      <c r="TZO14" s="137" t="s">
        <v>14421</v>
      </c>
      <c r="TZP14" s="137" t="s">
        <v>14422</v>
      </c>
      <c r="TZQ14" s="137" t="s">
        <v>14423</v>
      </c>
      <c r="TZR14" s="137" t="s">
        <v>14424</v>
      </c>
      <c r="TZS14" s="137" t="s">
        <v>14425</v>
      </c>
      <c r="TZT14" s="137" t="s">
        <v>14426</v>
      </c>
      <c r="TZU14" s="137" t="s">
        <v>14427</v>
      </c>
      <c r="TZV14" s="137" t="s">
        <v>14428</v>
      </c>
      <c r="TZW14" s="137" t="s">
        <v>14429</v>
      </c>
      <c r="TZX14" s="137" t="s">
        <v>14430</v>
      </c>
      <c r="TZY14" s="137" t="s">
        <v>14431</v>
      </c>
      <c r="TZZ14" s="137" t="s">
        <v>14432</v>
      </c>
      <c r="UAA14" s="137" t="s">
        <v>14433</v>
      </c>
      <c r="UAB14" s="137" t="s">
        <v>14434</v>
      </c>
      <c r="UAC14" s="137" t="s">
        <v>14435</v>
      </c>
      <c r="UAD14" s="137" t="s">
        <v>14436</v>
      </c>
      <c r="UAE14" s="137" t="s">
        <v>14437</v>
      </c>
      <c r="UAF14" s="137" t="s">
        <v>14438</v>
      </c>
      <c r="UAG14" s="137" t="s">
        <v>14439</v>
      </c>
      <c r="UAH14" s="137" t="s">
        <v>14440</v>
      </c>
      <c r="UAI14" s="137" t="s">
        <v>14441</v>
      </c>
      <c r="UAJ14" s="137" t="s">
        <v>14442</v>
      </c>
      <c r="UAK14" s="137" t="s">
        <v>14443</v>
      </c>
      <c r="UAL14" s="137" t="s">
        <v>14444</v>
      </c>
      <c r="UAM14" s="137" t="s">
        <v>14445</v>
      </c>
      <c r="UAN14" s="137" t="s">
        <v>14446</v>
      </c>
      <c r="UAO14" s="137" t="s">
        <v>14447</v>
      </c>
      <c r="UAP14" s="137" t="s">
        <v>14448</v>
      </c>
      <c r="UAQ14" s="137" t="s">
        <v>14449</v>
      </c>
      <c r="UAR14" s="137" t="s">
        <v>14450</v>
      </c>
      <c r="UAS14" s="137" t="s">
        <v>14451</v>
      </c>
      <c r="UAT14" s="137" t="s">
        <v>14452</v>
      </c>
      <c r="UAU14" s="137" t="s">
        <v>14453</v>
      </c>
      <c r="UAV14" s="137" t="s">
        <v>14454</v>
      </c>
      <c r="UAW14" s="137" t="s">
        <v>14455</v>
      </c>
      <c r="UAX14" s="137" t="s">
        <v>14456</v>
      </c>
      <c r="UAY14" s="137" t="s">
        <v>14457</v>
      </c>
      <c r="UAZ14" s="137" t="s">
        <v>14458</v>
      </c>
      <c r="UBA14" s="137" t="s">
        <v>14459</v>
      </c>
      <c r="UBB14" s="137" t="s">
        <v>14460</v>
      </c>
      <c r="UBC14" s="137" t="s">
        <v>14461</v>
      </c>
      <c r="UBD14" s="137" t="s">
        <v>14462</v>
      </c>
      <c r="UBE14" s="137" t="s">
        <v>14463</v>
      </c>
      <c r="UBF14" s="137" t="s">
        <v>14464</v>
      </c>
      <c r="UBG14" s="137" t="s">
        <v>14465</v>
      </c>
      <c r="UBH14" s="137" t="s">
        <v>14466</v>
      </c>
      <c r="UBI14" s="137" t="s">
        <v>14467</v>
      </c>
      <c r="UBJ14" s="137" t="s">
        <v>14468</v>
      </c>
      <c r="UBK14" s="137" t="s">
        <v>14469</v>
      </c>
      <c r="UBL14" s="137" t="s">
        <v>14470</v>
      </c>
      <c r="UBM14" s="137" t="s">
        <v>14471</v>
      </c>
      <c r="UBN14" s="137" t="s">
        <v>14472</v>
      </c>
      <c r="UBO14" s="137" t="s">
        <v>14473</v>
      </c>
      <c r="UBP14" s="137" t="s">
        <v>14474</v>
      </c>
      <c r="UBQ14" s="137" t="s">
        <v>14475</v>
      </c>
      <c r="UBR14" s="137" t="s">
        <v>14476</v>
      </c>
      <c r="UBS14" s="137" t="s">
        <v>14477</v>
      </c>
      <c r="UBT14" s="137" t="s">
        <v>14478</v>
      </c>
      <c r="UBU14" s="137" t="s">
        <v>14479</v>
      </c>
      <c r="UBV14" s="137" t="s">
        <v>14480</v>
      </c>
      <c r="UBW14" s="137" t="s">
        <v>14481</v>
      </c>
      <c r="UBX14" s="137" t="s">
        <v>14482</v>
      </c>
      <c r="UBY14" s="137" t="s">
        <v>14483</v>
      </c>
      <c r="UBZ14" s="137" t="s">
        <v>14484</v>
      </c>
      <c r="UCA14" s="137" t="s">
        <v>14485</v>
      </c>
      <c r="UCB14" s="137" t="s">
        <v>14486</v>
      </c>
      <c r="UCC14" s="137" t="s">
        <v>14487</v>
      </c>
      <c r="UCD14" s="137" t="s">
        <v>14488</v>
      </c>
      <c r="UCE14" s="137" t="s">
        <v>14489</v>
      </c>
      <c r="UCF14" s="137" t="s">
        <v>14490</v>
      </c>
      <c r="UCG14" s="137" t="s">
        <v>14491</v>
      </c>
      <c r="UCH14" s="137" t="s">
        <v>14492</v>
      </c>
      <c r="UCI14" s="137" t="s">
        <v>14493</v>
      </c>
      <c r="UCJ14" s="137" t="s">
        <v>14494</v>
      </c>
      <c r="UCK14" s="137" t="s">
        <v>14495</v>
      </c>
      <c r="UCL14" s="137" t="s">
        <v>14496</v>
      </c>
      <c r="UCM14" s="137" t="s">
        <v>14497</v>
      </c>
      <c r="UCN14" s="137" t="s">
        <v>14498</v>
      </c>
      <c r="UCO14" s="137" t="s">
        <v>14499</v>
      </c>
      <c r="UCP14" s="137" t="s">
        <v>14500</v>
      </c>
      <c r="UCQ14" s="137" t="s">
        <v>14501</v>
      </c>
      <c r="UCR14" s="137" t="s">
        <v>14502</v>
      </c>
      <c r="UCS14" s="137" t="s">
        <v>14503</v>
      </c>
      <c r="UCT14" s="137" t="s">
        <v>14504</v>
      </c>
      <c r="UCU14" s="137" t="s">
        <v>14505</v>
      </c>
      <c r="UCV14" s="137" t="s">
        <v>14506</v>
      </c>
      <c r="UCW14" s="137" t="s">
        <v>14507</v>
      </c>
      <c r="UCX14" s="137" t="s">
        <v>14508</v>
      </c>
      <c r="UCY14" s="137" t="s">
        <v>14509</v>
      </c>
      <c r="UCZ14" s="137" t="s">
        <v>14510</v>
      </c>
      <c r="UDA14" s="137" t="s">
        <v>14511</v>
      </c>
      <c r="UDB14" s="137" t="s">
        <v>14512</v>
      </c>
      <c r="UDC14" s="137" t="s">
        <v>14513</v>
      </c>
      <c r="UDD14" s="137" t="s">
        <v>14514</v>
      </c>
      <c r="UDE14" s="137" t="s">
        <v>14515</v>
      </c>
      <c r="UDF14" s="137" t="s">
        <v>14516</v>
      </c>
      <c r="UDG14" s="137" t="s">
        <v>14517</v>
      </c>
      <c r="UDH14" s="137" t="s">
        <v>14518</v>
      </c>
      <c r="UDI14" s="137" t="s">
        <v>14519</v>
      </c>
      <c r="UDJ14" s="137" t="s">
        <v>14520</v>
      </c>
      <c r="UDK14" s="137" t="s">
        <v>14521</v>
      </c>
      <c r="UDL14" s="137" t="s">
        <v>14522</v>
      </c>
      <c r="UDM14" s="137" t="s">
        <v>14523</v>
      </c>
      <c r="UDN14" s="137" t="s">
        <v>14524</v>
      </c>
      <c r="UDO14" s="137" t="s">
        <v>14525</v>
      </c>
      <c r="UDP14" s="137" t="s">
        <v>14526</v>
      </c>
      <c r="UDQ14" s="137" t="s">
        <v>14527</v>
      </c>
      <c r="UDR14" s="137" t="s">
        <v>14528</v>
      </c>
      <c r="UDS14" s="137" t="s">
        <v>14529</v>
      </c>
      <c r="UDT14" s="137" t="s">
        <v>14530</v>
      </c>
      <c r="UDU14" s="137" t="s">
        <v>14531</v>
      </c>
      <c r="UDV14" s="137" t="s">
        <v>14532</v>
      </c>
      <c r="UDW14" s="137" t="s">
        <v>14533</v>
      </c>
      <c r="UDX14" s="137" t="s">
        <v>14534</v>
      </c>
      <c r="UDY14" s="137" t="s">
        <v>14535</v>
      </c>
      <c r="UDZ14" s="137" t="s">
        <v>14536</v>
      </c>
      <c r="UEA14" s="137" t="s">
        <v>14537</v>
      </c>
      <c r="UEB14" s="137" t="s">
        <v>14538</v>
      </c>
      <c r="UEC14" s="137" t="s">
        <v>14539</v>
      </c>
      <c r="UED14" s="137" t="s">
        <v>14540</v>
      </c>
      <c r="UEE14" s="137" t="s">
        <v>14541</v>
      </c>
      <c r="UEF14" s="137" t="s">
        <v>14542</v>
      </c>
      <c r="UEG14" s="137" t="s">
        <v>14543</v>
      </c>
      <c r="UEH14" s="137" t="s">
        <v>14544</v>
      </c>
      <c r="UEI14" s="137" t="s">
        <v>14545</v>
      </c>
      <c r="UEJ14" s="137" t="s">
        <v>14546</v>
      </c>
      <c r="UEK14" s="137" t="s">
        <v>14547</v>
      </c>
      <c r="UEL14" s="137" t="s">
        <v>14548</v>
      </c>
      <c r="UEM14" s="137" t="s">
        <v>14549</v>
      </c>
      <c r="UEN14" s="137" t="s">
        <v>14550</v>
      </c>
      <c r="UEO14" s="137" t="s">
        <v>14551</v>
      </c>
      <c r="UEP14" s="137" t="s">
        <v>14552</v>
      </c>
      <c r="UEQ14" s="137" t="s">
        <v>14553</v>
      </c>
      <c r="UER14" s="137" t="s">
        <v>14554</v>
      </c>
      <c r="UES14" s="137" t="s">
        <v>14555</v>
      </c>
      <c r="UET14" s="137" t="s">
        <v>14556</v>
      </c>
      <c r="UEU14" s="137" t="s">
        <v>14557</v>
      </c>
      <c r="UEV14" s="137" t="s">
        <v>14558</v>
      </c>
      <c r="UEW14" s="137" t="s">
        <v>14559</v>
      </c>
      <c r="UEX14" s="137" t="s">
        <v>14560</v>
      </c>
      <c r="UEY14" s="137" t="s">
        <v>14561</v>
      </c>
      <c r="UEZ14" s="137" t="s">
        <v>14562</v>
      </c>
      <c r="UFA14" s="137" t="s">
        <v>14563</v>
      </c>
      <c r="UFB14" s="137" t="s">
        <v>14564</v>
      </c>
      <c r="UFC14" s="137" t="s">
        <v>14565</v>
      </c>
      <c r="UFD14" s="137" t="s">
        <v>14566</v>
      </c>
      <c r="UFE14" s="137" t="s">
        <v>14567</v>
      </c>
      <c r="UFF14" s="137" t="s">
        <v>14568</v>
      </c>
      <c r="UFG14" s="137" t="s">
        <v>14569</v>
      </c>
      <c r="UFH14" s="137" t="s">
        <v>14570</v>
      </c>
      <c r="UFI14" s="137" t="s">
        <v>14571</v>
      </c>
      <c r="UFJ14" s="137" t="s">
        <v>14572</v>
      </c>
      <c r="UFK14" s="137" t="s">
        <v>14573</v>
      </c>
      <c r="UFL14" s="137" t="s">
        <v>14574</v>
      </c>
      <c r="UFM14" s="137" t="s">
        <v>14575</v>
      </c>
      <c r="UFN14" s="137" t="s">
        <v>14576</v>
      </c>
      <c r="UFO14" s="137" t="s">
        <v>14577</v>
      </c>
      <c r="UFP14" s="137" t="s">
        <v>14578</v>
      </c>
      <c r="UFQ14" s="137" t="s">
        <v>14579</v>
      </c>
      <c r="UFR14" s="137" t="s">
        <v>14580</v>
      </c>
      <c r="UFS14" s="137" t="s">
        <v>14581</v>
      </c>
      <c r="UFT14" s="137" t="s">
        <v>14582</v>
      </c>
      <c r="UFU14" s="137" t="s">
        <v>14583</v>
      </c>
      <c r="UFV14" s="137" t="s">
        <v>14584</v>
      </c>
      <c r="UFW14" s="137" t="s">
        <v>14585</v>
      </c>
      <c r="UFX14" s="137" t="s">
        <v>14586</v>
      </c>
      <c r="UFY14" s="137" t="s">
        <v>14587</v>
      </c>
      <c r="UFZ14" s="137" t="s">
        <v>14588</v>
      </c>
      <c r="UGA14" s="137" t="s">
        <v>14589</v>
      </c>
      <c r="UGB14" s="137" t="s">
        <v>14590</v>
      </c>
      <c r="UGC14" s="137" t="s">
        <v>14591</v>
      </c>
      <c r="UGD14" s="137" t="s">
        <v>14592</v>
      </c>
      <c r="UGE14" s="137" t="s">
        <v>14593</v>
      </c>
      <c r="UGF14" s="137" t="s">
        <v>14594</v>
      </c>
      <c r="UGG14" s="137" t="s">
        <v>14595</v>
      </c>
      <c r="UGH14" s="137" t="s">
        <v>14596</v>
      </c>
      <c r="UGI14" s="137" t="s">
        <v>14597</v>
      </c>
      <c r="UGJ14" s="137" t="s">
        <v>14598</v>
      </c>
      <c r="UGK14" s="137" t="s">
        <v>14599</v>
      </c>
      <c r="UGL14" s="137" t="s">
        <v>14600</v>
      </c>
      <c r="UGM14" s="137" t="s">
        <v>14601</v>
      </c>
      <c r="UGN14" s="137" t="s">
        <v>14602</v>
      </c>
      <c r="UGO14" s="137" t="s">
        <v>14603</v>
      </c>
      <c r="UGP14" s="137" t="s">
        <v>14604</v>
      </c>
      <c r="UGQ14" s="137" t="s">
        <v>14605</v>
      </c>
      <c r="UGR14" s="137" t="s">
        <v>14606</v>
      </c>
      <c r="UGS14" s="137" t="s">
        <v>14607</v>
      </c>
      <c r="UGT14" s="137" t="s">
        <v>14608</v>
      </c>
      <c r="UGU14" s="137" t="s">
        <v>14609</v>
      </c>
      <c r="UGV14" s="137" t="s">
        <v>14610</v>
      </c>
      <c r="UGW14" s="137" t="s">
        <v>14611</v>
      </c>
      <c r="UGX14" s="137" t="s">
        <v>14612</v>
      </c>
      <c r="UGY14" s="137" t="s">
        <v>14613</v>
      </c>
      <c r="UGZ14" s="137" t="s">
        <v>14614</v>
      </c>
      <c r="UHA14" s="137" t="s">
        <v>14615</v>
      </c>
      <c r="UHB14" s="137" t="s">
        <v>14616</v>
      </c>
      <c r="UHC14" s="137" t="s">
        <v>14617</v>
      </c>
      <c r="UHD14" s="137" t="s">
        <v>14618</v>
      </c>
      <c r="UHE14" s="137" t="s">
        <v>14619</v>
      </c>
      <c r="UHF14" s="137" t="s">
        <v>14620</v>
      </c>
      <c r="UHG14" s="137" t="s">
        <v>14621</v>
      </c>
      <c r="UHH14" s="137" t="s">
        <v>14622</v>
      </c>
      <c r="UHI14" s="137" t="s">
        <v>14623</v>
      </c>
      <c r="UHJ14" s="137" t="s">
        <v>14624</v>
      </c>
      <c r="UHK14" s="137" t="s">
        <v>14625</v>
      </c>
      <c r="UHL14" s="137" t="s">
        <v>14626</v>
      </c>
      <c r="UHM14" s="137" t="s">
        <v>14627</v>
      </c>
      <c r="UHN14" s="137" t="s">
        <v>14628</v>
      </c>
      <c r="UHO14" s="137" t="s">
        <v>14629</v>
      </c>
      <c r="UHP14" s="137" t="s">
        <v>14630</v>
      </c>
      <c r="UHQ14" s="137" t="s">
        <v>14631</v>
      </c>
      <c r="UHR14" s="137" t="s">
        <v>14632</v>
      </c>
      <c r="UHS14" s="137" t="s">
        <v>14633</v>
      </c>
      <c r="UHT14" s="137" t="s">
        <v>14634</v>
      </c>
      <c r="UHU14" s="137" t="s">
        <v>14635</v>
      </c>
      <c r="UHV14" s="137" t="s">
        <v>14636</v>
      </c>
      <c r="UHW14" s="137" t="s">
        <v>14637</v>
      </c>
      <c r="UHX14" s="137" t="s">
        <v>14638</v>
      </c>
      <c r="UHY14" s="137" t="s">
        <v>14639</v>
      </c>
      <c r="UHZ14" s="137" t="s">
        <v>14640</v>
      </c>
      <c r="UIA14" s="137" t="s">
        <v>14641</v>
      </c>
      <c r="UIB14" s="137" t="s">
        <v>14642</v>
      </c>
      <c r="UIC14" s="137" t="s">
        <v>14643</v>
      </c>
      <c r="UID14" s="137" t="s">
        <v>14644</v>
      </c>
      <c r="UIE14" s="137" t="s">
        <v>14645</v>
      </c>
      <c r="UIF14" s="137" t="s">
        <v>14646</v>
      </c>
      <c r="UIG14" s="137" t="s">
        <v>14647</v>
      </c>
      <c r="UIH14" s="137" t="s">
        <v>14648</v>
      </c>
      <c r="UII14" s="137" t="s">
        <v>14649</v>
      </c>
      <c r="UIJ14" s="137" t="s">
        <v>14650</v>
      </c>
      <c r="UIK14" s="137" t="s">
        <v>14651</v>
      </c>
      <c r="UIL14" s="137" t="s">
        <v>14652</v>
      </c>
      <c r="UIM14" s="137" t="s">
        <v>14653</v>
      </c>
      <c r="UIN14" s="137" t="s">
        <v>14654</v>
      </c>
      <c r="UIO14" s="137" t="s">
        <v>14655</v>
      </c>
      <c r="UIP14" s="137" t="s">
        <v>14656</v>
      </c>
      <c r="UIQ14" s="137" t="s">
        <v>14657</v>
      </c>
      <c r="UIR14" s="137" t="s">
        <v>14658</v>
      </c>
      <c r="UIS14" s="137" t="s">
        <v>14659</v>
      </c>
      <c r="UIT14" s="137" t="s">
        <v>14660</v>
      </c>
      <c r="UIU14" s="137" t="s">
        <v>14661</v>
      </c>
      <c r="UIV14" s="137" t="s">
        <v>14662</v>
      </c>
      <c r="UIW14" s="137" t="s">
        <v>14663</v>
      </c>
      <c r="UIX14" s="137" t="s">
        <v>14664</v>
      </c>
      <c r="UIY14" s="137" t="s">
        <v>14665</v>
      </c>
      <c r="UIZ14" s="137" t="s">
        <v>14666</v>
      </c>
      <c r="UJA14" s="137" t="s">
        <v>14667</v>
      </c>
      <c r="UJB14" s="137" t="s">
        <v>14668</v>
      </c>
      <c r="UJC14" s="137" t="s">
        <v>14669</v>
      </c>
      <c r="UJD14" s="137" t="s">
        <v>14670</v>
      </c>
      <c r="UJE14" s="137" t="s">
        <v>14671</v>
      </c>
      <c r="UJF14" s="137" t="s">
        <v>14672</v>
      </c>
      <c r="UJG14" s="137" t="s">
        <v>14673</v>
      </c>
      <c r="UJH14" s="137" t="s">
        <v>14674</v>
      </c>
      <c r="UJI14" s="137" t="s">
        <v>14675</v>
      </c>
      <c r="UJJ14" s="137" t="s">
        <v>14676</v>
      </c>
      <c r="UJK14" s="137" t="s">
        <v>14677</v>
      </c>
      <c r="UJL14" s="137" t="s">
        <v>14678</v>
      </c>
      <c r="UJM14" s="137" t="s">
        <v>14679</v>
      </c>
      <c r="UJN14" s="137" t="s">
        <v>14680</v>
      </c>
      <c r="UJO14" s="137" t="s">
        <v>14681</v>
      </c>
      <c r="UJP14" s="137" t="s">
        <v>14682</v>
      </c>
      <c r="UJQ14" s="137" t="s">
        <v>14683</v>
      </c>
      <c r="UJR14" s="137" t="s">
        <v>14684</v>
      </c>
      <c r="UJS14" s="137" t="s">
        <v>14685</v>
      </c>
      <c r="UJT14" s="137" t="s">
        <v>14686</v>
      </c>
      <c r="UJU14" s="137" t="s">
        <v>14687</v>
      </c>
      <c r="UJV14" s="137" t="s">
        <v>14688</v>
      </c>
      <c r="UJW14" s="137" t="s">
        <v>14689</v>
      </c>
      <c r="UJX14" s="137" t="s">
        <v>14690</v>
      </c>
      <c r="UJY14" s="137" t="s">
        <v>14691</v>
      </c>
      <c r="UJZ14" s="137" t="s">
        <v>14692</v>
      </c>
      <c r="UKA14" s="137" t="s">
        <v>14693</v>
      </c>
      <c r="UKB14" s="137" t="s">
        <v>14694</v>
      </c>
      <c r="UKC14" s="137" t="s">
        <v>14695</v>
      </c>
      <c r="UKD14" s="137" t="s">
        <v>14696</v>
      </c>
      <c r="UKE14" s="137" t="s">
        <v>14697</v>
      </c>
      <c r="UKF14" s="137" t="s">
        <v>14698</v>
      </c>
      <c r="UKG14" s="137" t="s">
        <v>14699</v>
      </c>
      <c r="UKH14" s="137" t="s">
        <v>14700</v>
      </c>
      <c r="UKI14" s="137" t="s">
        <v>14701</v>
      </c>
      <c r="UKJ14" s="137" t="s">
        <v>14702</v>
      </c>
      <c r="UKK14" s="137" t="s">
        <v>14703</v>
      </c>
      <c r="UKL14" s="137" t="s">
        <v>14704</v>
      </c>
      <c r="UKM14" s="137" t="s">
        <v>14705</v>
      </c>
      <c r="UKN14" s="137" t="s">
        <v>14706</v>
      </c>
      <c r="UKO14" s="137" t="s">
        <v>14707</v>
      </c>
      <c r="UKP14" s="137" t="s">
        <v>14708</v>
      </c>
      <c r="UKQ14" s="137" t="s">
        <v>14709</v>
      </c>
      <c r="UKR14" s="137" t="s">
        <v>14710</v>
      </c>
      <c r="UKS14" s="137" t="s">
        <v>14711</v>
      </c>
      <c r="UKT14" s="137" t="s">
        <v>14712</v>
      </c>
      <c r="UKU14" s="137" t="s">
        <v>14713</v>
      </c>
      <c r="UKV14" s="137" t="s">
        <v>14714</v>
      </c>
      <c r="UKW14" s="137" t="s">
        <v>14715</v>
      </c>
      <c r="UKX14" s="137" t="s">
        <v>14716</v>
      </c>
      <c r="UKY14" s="137" t="s">
        <v>14717</v>
      </c>
      <c r="UKZ14" s="137" t="s">
        <v>14718</v>
      </c>
      <c r="ULA14" s="137" t="s">
        <v>14719</v>
      </c>
      <c r="ULB14" s="137" t="s">
        <v>14720</v>
      </c>
      <c r="ULC14" s="137" t="s">
        <v>14721</v>
      </c>
      <c r="ULD14" s="137" t="s">
        <v>14722</v>
      </c>
      <c r="ULE14" s="137" t="s">
        <v>14723</v>
      </c>
      <c r="ULF14" s="137" t="s">
        <v>14724</v>
      </c>
      <c r="ULG14" s="137" t="s">
        <v>14725</v>
      </c>
      <c r="ULH14" s="137" t="s">
        <v>14726</v>
      </c>
      <c r="ULI14" s="137" t="s">
        <v>14727</v>
      </c>
      <c r="ULJ14" s="137" t="s">
        <v>14728</v>
      </c>
      <c r="ULK14" s="137" t="s">
        <v>14729</v>
      </c>
      <c r="ULL14" s="137" t="s">
        <v>14730</v>
      </c>
      <c r="ULM14" s="137" t="s">
        <v>14731</v>
      </c>
      <c r="ULN14" s="137" t="s">
        <v>14732</v>
      </c>
      <c r="ULO14" s="137" t="s">
        <v>14733</v>
      </c>
      <c r="ULP14" s="137" t="s">
        <v>14734</v>
      </c>
      <c r="ULQ14" s="137" t="s">
        <v>14735</v>
      </c>
      <c r="ULR14" s="137" t="s">
        <v>14736</v>
      </c>
      <c r="ULS14" s="137" t="s">
        <v>14737</v>
      </c>
      <c r="ULT14" s="137" t="s">
        <v>14738</v>
      </c>
      <c r="ULU14" s="137" t="s">
        <v>14739</v>
      </c>
      <c r="ULV14" s="137" t="s">
        <v>14740</v>
      </c>
      <c r="ULW14" s="137" t="s">
        <v>14741</v>
      </c>
      <c r="ULX14" s="137" t="s">
        <v>14742</v>
      </c>
      <c r="ULY14" s="137" t="s">
        <v>14743</v>
      </c>
      <c r="ULZ14" s="137" t="s">
        <v>14744</v>
      </c>
      <c r="UMA14" s="137" t="s">
        <v>14745</v>
      </c>
      <c r="UMB14" s="137" t="s">
        <v>14746</v>
      </c>
      <c r="UMC14" s="137" t="s">
        <v>14747</v>
      </c>
      <c r="UMD14" s="137" t="s">
        <v>14748</v>
      </c>
      <c r="UME14" s="137" t="s">
        <v>14749</v>
      </c>
      <c r="UMF14" s="137" t="s">
        <v>14750</v>
      </c>
      <c r="UMG14" s="137" t="s">
        <v>14751</v>
      </c>
      <c r="UMH14" s="137" t="s">
        <v>14752</v>
      </c>
      <c r="UMI14" s="137" t="s">
        <v>14753</v>
      </c>
      <c r="UMJ14" s="137" t="s">
        <v>14754</v>
      </c>
      <c r="UMK14" s="137" t="s">
        <v>14755</v>
      </c>
      <c r="UML14" s="137" t="s">
        <v>14756</v>
      </c>
      <c r="UMM14" s="137" t="s">
        <v>14757</v>
      </c>
      <c r="UMN14" s="137" t="s">
        <v>14758</v>
      </c>
      <c r="UMO14" s="137" t="s">
        <v>14759</v>
      </c>
      <c r="UMP14" s="137" t="s">
        <v>14760</v>
      </c>
      <c r="UMQ14" s="137" t="s">
        <v>14761</v>
      </c>
      <c r="UMR14" s="137" t="s">
        <v>14762</v>
      </c>
      <c r="UMS14" s="137" t="s">
        <v>14763</v>
      </c>
      <c r="UMT14" s="137" t="s">
        <v>14764</v>
      </c>
      <c r="UMU14" s="137" t="s">
        <v>14765</v>
      </c>
      <c r="UMV14" s="137" t="s">
        <v>14766</v>
      </c>
      <c r="UMW14" s="137" t="s">
        <v>14767</v>
      </c>
      <c r="UMX14" s="137" t="s">
        <v>14768</v>
      </c>
      <c r="UMY14" s="137" t="s">
        <v>14769</v>
      </c>
      <c r="UMZ14" s="137" t="s">
        <v>14770</v>
      </c>
      <c r="UNA14" s="137" t="s">
        <v>14771</v>
      </c>
      <c r="UNB14" s="137" t="s">
        <v>14772</v>
      </c>
      <c r="UNC14" s="137" t="s">
        <v>14773</v>
      </c>
      <c r="UND14" s="137" t="s">
        <v>14774</v>
      </c>
      <c r="UNE14" s="137" t="s">
        <v>14775</v>
      </c>
      <c r="UNF14" s="137" t="s">
        <v>14776</v>
      </c>
      <c r="UNG14" s="137" t="s">
        <v>14777</v>
      </c>
      <c r="UNH14" s="137" t="s">
        <v>14778</v>
      </c>
      <c r="UNI14" s="137" t="s">
        <v>14779</v>
      </c>
      <c r="UNJ14" s="137" t="s">
        <v>14780</v>
      </c>
      <c r="UNK14" s="137" t="s">
        <v>14781</v>
      </c>
      <c r="UNL14" s="137" t="s">
        <v>14782</v>
      </c>
      <c r="UNM14" s="137" t="s">
        <v>14783</v>
      </c>
      <c r="UNN14" s="137" t="s">
        <v>14784</v>
      </c>
      <c r="UNO14" s="137" t="s">
        <v>14785</v>
      </c>
      <c r="UNP14" s="137" t="s">
        <v>14786</v>
      </c>
      <c r="UNQ14" s="137" t="s">
        <v>14787</v>
      </c>
      <c r="UNR14" s="137" t="s">
        <v>14788</v>
      </c>
      <c r="UNS14" s="137" t="s">
        <v>14789</v>
      </c>
      <c r="UNT14" s="137" t="s">
        <v>14790</v>
      </c>
      <c r="UNU14" s="137" t="s">
        <v>14791</v>
      </c>
      <c r="UNV14" s="137" t="s">
        <v>14792</v>
      </c>
      <c r="UNW14" s="137" t="s">
        <v>14793</v>
      </c>
      <c r="UNX14" s="137" t="s">
        <v>14794</v>
      </c>
      <c r="UNY14" s="137" t="s">
        <v>14795</v>
      </c>
      <c r="UNZ14" s="137" t="s">
        <v>14796</v>
      </c>
      <c r="UOA14" s="137" t="s">
        <v>14797</v>
      </c>
      <c r="UOB14" s="137" t="s">
        <v>14798</v>
      </c>
      <c r="UOC14" s="137" t="s">
        <v>14799</v>
      </c>
      <c r="UOD14" s="137" t="s">
        <v>14800</v>
      </c>
      <c r="UOE14" s="137" t="s">
        <v>14801</v>
      </c>
      <c r="UOF14" s="137" t="s">
        <v>14802</v>
      </c>
      <c r="UOG14" s="137" t="s">
        <v>14803</v>
      </c>
      <c r="UOH14" s="137" t="s">
        <v>14804</v>
      </c>
      <c r="UOI14" s="137" t="s">
        <v>14805</v>
      </c>
      <c r="UOJ14" s="137" t="s">
        <v>14806</v>
      </c>
      <c r="UOK14" s="137" t="s">
        <v>14807</v>
      </c>
      <c r="UOL14" s="137" t="s">
        <v>14808</v>
      </c>
      <c r="UOM14" s="137" t="s">
        <v>14809</v>
      </c>
      <c r="UON14" s="137" t="s">
        <v>14810</v>
      </c>
      <c r="UOO14" s="137" t="s">
        <v>14811</v>
      </c>
      <c r="UOP14" s="137" t="s">
        <v>14812</v>
      </c>
      <c r="UOQ14" s="137" t="s">
        <v>14813</v>
      </c>
      <c r="UOR14" s="137" t="s">
        <v>14814</v>
      </c>
      <c r="UOS14" s="137" t="s">
        <v>14815</v>
      </c>
      <c r="UOT14" s="137" t="s">
        <v>14816</v>
      </c>
      <c r="UOU14" s="137" t="s">
        <v>14817</v>
      </c>
      <c r="UOV14" s="137" t="s">
        <v>14818</v>
      </c>
      <c r="UOW14" s="137" t="s">
        <v>14819</v>
      </c>
      <c r="UOX14" s="137" t="s">
        <v>14820</v>
      </c>
      <c r="UOY14" s="137" t="s">
        <v>14821</v>
      </c>
      <c r="UOZ14" s="137" t="s">
        <v>14822</v>
      </c>
      <c r="UPA14" s="137" t="s">
        <v>14823</v>
      </c>
      <c r="UPB14" s="137" t="s">
        <v>14824</v>
      </c>
      <c r="UPC14" s="137" t="s">
        <v>14825</v>
      </c>
      <c r="UPD14" s="137" t="s">
        <v>14826</v>
      </c>
      <c r="UPE14" s="137" t="s">
        <v>14827</v>
      </c>
      <c r="UPF14" s="137" t="s">
        <v>14828</v>
      </c>
      <c r="UPG14" s="137" t="s">
        <v>14829</v>
      </c>
      <c r="UPH14" s="137" t="s">
        <v>14830</v>
      </c>
      <c r="UPI14" s="137" t="s">
        <v>14831</v>
      </c>
      <c r="UPJ14" s="137" t="s">
        <v>14832</v>
      </c>
      <c r="UPK14" s="137" t="s">
        <v>14833</v>
      </c>
      <c r="UPL14" s="137" t="s">
        <v>14834</v>
      </c>
      <c r="UPM14" s="137" t="s">
        <v>14835</v>
      </c>
      <c r="UPN14" s="137" t="s">
        <v>14836</v>
      </c>
      <c r="UPO14" s="137" t="s">
        <v>14837</v>
      </c>
      <c r="UPP14" s="137" t="s">
        <v>14838</v>
      </c>
      <c r="UPQ14" s="137" t="s">
        <v>14839</v>
      </c>
      <c r="UPR14" s="137" t="s">
        <v>14840</v>
      </c>
      <c r="UPS14" s="137" t="s">
        <v>14841</v>
      </c>
      <c r="UPT14" s="137" t="s">
        <v>14842</v>
      </c>
      <c r="UPU14" s="137" t="s">
        <v>14843</v>
      </c>
      <c r="UPV14" s="137" t="s">
        <v>14844</v>
      </c>
      <c r="UPW14" s="137" t="s">
        <v>14845</v>
      </c>
      <c r="UPX14" s="137" t="s">
        <v>14846</v>
      </c>
      <c r="UPY14" s="137" t="s">
        <v>14847</v>
      </c>
      <c r="UPZ14" s="137" t="s">
        <v>14848</v>
      </c>
      <c r="UQA14" s="137" t="s">
        <v>14849</v>
      </c>
      <c r="UQB14" s="137" t="s">
        <v>14850</v>
      </c>
      <c r="UQC14" s="137" t="s">
        <v>14851</v>
      </c>
      <c r="UQD14" s="137" t="s">
        <v>14852</v>
      </c>
      <c r="UQE14" s="137" t="s">
        <v>14853</v>
      </c>
      <c r="UQF14" s="137" t="s">
        <v>14854</v>
      </c>
      <c r="UQG14" s="137" t="s">
        <v>14855</v>
      </c>
      <c r="UQH14" s="137" t="s">
        <v>14856</v>
      </c>
      <c r="UQI14" s="137" t="s">
        <v>14857</v>
      </c>
      <c r="UQJ14" s="137" t="s">
        <v>14858</v>
      </c>
      <c r="UQK14" s="137" t="s">
        <v>14859</v>
      </c>
      <c r="UQL14" s="137" t="s">
        <v>14860</v>
      </c>
      <c r="UQM14" s="137" t="s">
        <v>14861</v>
      </c>
      <c r="UQN14" s="137" t="s">
        <v>14862</v>
      </c>
      <c r="UQO14" s="137" t="s">
        <v>14863</v>
      </c>
      <c r="UQP14" s="137" t="s">
        <v>14864</v>
      </c>
      <c r="UQQ14" s="137" t="s">
        <v>14865</v>
      </c>
      <c r="UQR14" s="137" t="s">
        <v>14866</v>
      </c>
      <c r="UQS14" s="137" t="s">
        <v>14867</v>
      </c>
      <c r="UQT14" s="137" t="s">
        <v>14868</v>
      </c>
      <c r="UQU14" s="137" t="s">
        <v>14869</v>
      </c>
      <c r="UQV14" s="137" t="s">
        <v>14870</v>
      </c>
      <c r="UQW14" s="137" t="s">
        <v>14871</v>
      </c>
      <c r="UQX14" s="137" t="s">
        <v>14872</v>
      </c>
      <c r="UQY14" s="137" t="s">
        <v>14873</v>
      </c>
      <c r="UQZ14" s="137" t="s">
        <v>14874</v>
      </c>
      <c r="URA14" s="137" t="s">
        <v>14875</v>
      </c>
      <c r="URB14" s="137" t="s">
        <v>14876</v>
      </c>
      <c r="URC14" s="137" t="s">
        <v>14877</v>
      </c>
      <c r="URD14" s="137" t="s">
        <v>14878</v>
      </c>
      <c r="URE14" s="137" t="s">
        <v>14879</v>
      </c>
      <c r="URF14" s="137" t="s">
        <v>14880</v>
      </c>
      <c r="URG14" s="137" t="s">
        <v>14881</v>
      </c>
      <c r="URH14" s="137" t="s">
        <v>14882</v>
      </c>
      <c r="URI14" s="137" t="s">
        <v>14883</v>
      </c>
      <c r="URJ14" s="137" t="s">
        <v>14884</v>
      </c>
      <c r="URK14" s="137" t="s">
        <v>14885</v>
      </c>
      <c r="URL14" s="137" t="s">
        <v>14886</v>
      </c>
      <c r="URM14" s="137" t="s">
        <v>14887</v>
      </c>
      <c r="URN14" s="137" t="s">
        <v>14888</v>
      </c>
      <c r="URO14" s="137" t="s">
        <v>14889</v>
      </c>
      <c r="URP14" s="137" t="s">
        <v>14890</v>
      </c>
      <c r="URQ14" s="137" t="s">
        <v>14891</v>
      </c>
      <c r="URR14" s="137" t="s">
        <v>14892</v>
      </c>
      <c r="URS14" s="137" t="s">
        <v>14893</v>
      </c>
      <c r="URT14" s="137" t="s">
        <v>14894</v>
      </c>
      <c r="URU14" s="137" t="s">
        <v>14895</v>
      </c>
      <c r="URV14" s="137" t="s">
        <v>14896</v>
      </c>
      <c r="URW14" s="137" t="s">
        <v>14897</v>
      </c>
      <c r="URX14" s="137" t="s">
        <v>14898</v>
      </c>
      <c r="URY14" s="137" t="s">
        <v>14899</v>
      </c>
      <c r="URZ14" s="137" t="s">
        <v>14900</v>
      </c>
      <c r="USA14" s="137" t="s">
        <v>14901</v>
      </c>
      <c r="USB14" s="137" t="s">
        <v>14902</v>
      </c>
      <c r="USC14" s="137" t="s">
        <v>14903</v>
      </c>
      <c r="USD14" s="137" t="s">
        <v>14904</v>
      </c>
      <c r="USE14" s="137" t="s">
        <v>14905</v>
      </c>
      <c r="USF14" s="137" t="s">
        <v>14906</v>
      </c>
      <c r="USG14" s="137" t="s">
        <v>14907</v>
      </c>
      <c r="USH14" s="137" t="s">
        <v>14908</v>
      </c>
      <c r="USI14" s="137" t="s">
        <v>14909</v>
      </c>
      <c r="USJ14" s="137" t="s">
        <v>14910</v>
      </c>
      <c r="USK14" s="137" t="s">
        <v>14911</v>
      </c>
      <c r="USL14" s="137" t="s">
        <v>14912</v>
      </c>
      <c r="USM14" s="137" t="s">
        <v>14913</v>
      </c>
      <c r="USN14" s="137" t="s">
        <v>14914</v>
      </c>
      <c r="USO14" s="137" t="s">
        <v>14915</v>
      </c>
      <c r="USP14" s="137" t="s">
        <v>14916</v>
      </c>
      <c r="USQ14" s="137" t="s">
        <v>14917</v>
      </c>
      <c r="USR14" s="137" t="s">
        <v>14918</v>
      </c>
      <c r="USS14" s="137" t="s">
        <v>14919</v>
      </c>
      <c r="UST14" s="137" t="s">
        <v>14920</v>
      </c>
      <c r="USU14" s="137" t="s">
        <v>14921</v>
      </c>
      <c r="USV14" s="137" t="s">
        <v>14922</v>
      </c>
      <c r="USW14" s="137" t="s">
        <v>14923</v>
      </c>
      <c r="USX14" s="137" t="s">
        <v>14924</v>
      </c>
      <c r="USY14" s="137" t="s">
        <v>14925</v>
      </c>
      <c r="USZ14" s="137" t="s">
        <v>14926</v>
      </c>
      <c r="UTA14" s="137" t="s">
        <v>14927</v>
      </c>
      <c r="UTB14" s="137" t="s">
        <v>14928</v>
      </c>
      <c r="UTC14" s="137" t="s">
        <v>14929</v>
      </c>
      <c r="UTD14" s="137" t="s">
        <v>14930</v>
      </c>
      <c r="UTE14" s="137" t="s">
        <v>14931</v>
      </c>
      <c r="UTF14" s="137" t="s">
        <v>14932</v>
      </c>
      <c r="UTG14" s="137" t="s">
        <v>14933</v>
      </c>
      <c r="UTH14" s="137" t="s">
        <v>14934</v>
      </c>
      <c r="UTI14" s="137" t="s">
        <v>14935</v>
      </c>
      <c r="UTJ14" s="137" t="s">
        <v>14936</v>
      </c>
      <c r="UTK14" s="137" t="s">
        <v>14937</v>
      </c>
      <c r="UTL14" s="137" t="s">
        <v>14938</v>
      </c>
      <c r="UTM14" s="137" t="s">
        <v>14939</v>
      </c>
      <c r="UTN14" s="137" t="s">
        <v>14940</v>
      </c>
      <c r="UTO14" s="137" t="s">
        <v>14941</v>
      </c>
      <c r="UTP14" s="137" t="s">
        <v>14942</v>
      </c>
      <c r="UTQ14" s="137" t="s">
        <v>14943</v>
      </c>
      <c r="UTR14" s="137" t="s">
        <v>14944</v>
      </c>
      <c r="UTS14" s="137" t="s">
        <v>14945</v>
      </c>
      <c r="UTT14" s="137" t="s">
        <v>14946</v>
      </c>
      <c r="UTU14" s="137" t="s">
        <v>14947</v>
      </c>
      <c r="UTV14" s="137" t="s">
        <v>14948</v>
      </c>
      <c r="UTW14" s="137" t="s">
        <v>14949</v>
      </c>
      <c r="UTX14" s="137" t="s">
        <v>14950</v>
      </c>
      <c r="UTY14" s="137" t="s">
        <v>14951</v>
      </c>
      <c r="UTZ14" s="137" t="s">
        <v>14952</v>
      </c>
      <c r="UUA14" s="137" t="s">
        <v>14953</v>
      </c>
      <c r="UUB14" s="137" t="s">
        <v>14954</v>
      </c>
      <c r="UUC14" s="137" t="s">
        <v>14955</v>
      </c>
      <c r="UUD14" s="137" t="s">
        <v>14956</v>
      </c>
      <c r="UUE14" s="137" t="s">
        <v>14957</v>
      </c>
      <c r="UUF14" s="137" t="s">
        <v>14958</v>
      </c>
      <c r="UUG14" s="137" t="s">
        <v>14959</v>
      </c>
      <c r="UUH14" s="137" t="s">
        <v>14960</v>
      </c>
      <c r="UUI14" s="137" t="s">
        <v>14961</v>
      </c>
      <c r="UUJ14" s="137" t="s">
        <v>14962</v>
      </c>
      <c r="UUK14" s="137" t="s">
        <v>14963</v>
      </c>
      <c r="UUL14" s="137" t="s">
        <v>14964</v>
      </c>
      <c r="UUM14" s="137" t="s">
        <v>14965</v>
      </c>
      <c r="UUN14" s="137" t="s">
        <v>14966</v>
      </c>
      <c r="UUO14" s="137" t="s">
        <v>14967</v>
      </c>
      <c r="UUP14" s="137" t="s">
        <v>14968</v>
      </c>
      <c r="UUQ14" s="137" t="s">
        <v>14969</v>
      </c>
      <c r="UUR14" s="137" t="s">
        <v>14970</v>
      </c>
      <c r="UUS14" s="137" t="s">
        <v>14971</v>
      </c>
      <c r="UUT14" s="137" t="s">
        <v>14972</v>
      </c>
      <c r="UUU14" s="137" t="s">
        <v>14973</v>
      </c>
      <c r="UUV14" s="137" t="s">
        <v>14974</v>
      </c>
      <c r="UUW14" s="137" t="s">
        <v>14975</v>
      </c>
      <c r="UUX14" s="137" t="s">
        <v>14976</v>
      </c>
      <c r="UUY14" s="137" t="s">
        <v>14977</v>
      </c>
      <c r="UUZ14" s="137" t="s">
        <v>14978</v>
      </c>
      <c r="UVA14" s="137" t="s">
        <v>14979</v>
      </c>
      <c r="UVB14" s="137" t="s">
        <v>14980</v>
      </c>
      <c r="UVC14" s="137" t="s">
        <v>14981</v>
      </c>
      <c r="UVD14" s="137" t="s">
        <v>14982</v>
      </c>
      <c r="UVE14" s="137" t="s">
        <v>14983</v>
      </c>
      <c r="UVF14" s="137" t="s">
        <v>14984</v>
      </c>
      <c r="UVG14" s="137" t="s">
        <v>14985</v>
      </c>
      <c r="UVH14" s="137" t="s">
        <v>14986</v>
      </c>
      <c r="UVI14" s="137" t="s">
        <v>14987</v>
      </c>
      <c r="UVJ14" s="137" t="s">
        <v>14988</v>
      </c>
      <c r="UVK14" s="137" t="s">
        <v>14989</v>
      </c>
      <c r="UVL14" s="137" t="s">
        <v>14990</v>
      </c>
      <c r="UVM14" s="137" t="s">
        <v>14991</v>
      </c>
      <c r="UVN14" s="137" t="s">
        <v>14992</v>
      </c>
      <c r="UVO14" s="137" t="s">
        <v>14993</v>
      </c>
      <c r="UVP14" s="137" t="s">
        <v>14994</v>
      </c>
      <c r="UVQ14" s="137" t="s">
        <v>14995</v>
      </c>
      <c r="UVR14" s="137" t="s">
        <v>14996</v>
      </c>
      <c r="UVS14" s="137" t="s">
        <v>14997</v>
      </c>
      <c r="UVT14" s="137" t="s">
        <v>14998</v>
      </c>
      <c r="UVU14" s="137" t="s">
        <v>14999</v>
      </c>
      <c r="UVV14" s="137" t="s">
        <v>15000</v>
      </c>
      <c r="UVW14" s="137" t="s">
        <v>15001</v>
      </c>
      <c r="UVX14" s="137" t="s">
        <v>15002</v>
      </c>
      <c r="UVY14" s="137" t="s">
        <v>15003</v>
      </c>
      <c r="UVZ14" s="137" t="s">
        <v>15004</v>
      </c>
      <c r="UWA14" s="137" t="s">
        <v>15005</v>
      </c>
      <c r="UWB14" s="137" t="s">
        <v>15006</v>
      </c>
      <c r="UWC14" s="137" t="s">
        <v>15007</v>
      </c>
      <c r="UWD14" s="137" t="s">
        <v>15008</v>
      </c>
      <c r="UWE14" s="137" t="s">
        <v>15009</v>
      </c>
      <c r="UWF14" s="137" t="s">
        <v>15010</v>
      </c>
      <c r="UWG14" s="137" t="s">
        <v>15011</v>
      </c>
      <c r="UWH14" s="137" t="s">
        <v>15012</v>
      </c>
      <c r="UWI14" s="137" t="s">
        <v>15013</v>
      </c>
      <c r="UWJ14" s="137" t="s">
        <v>15014</v>
      </c>
      <c r="UWK14" s="137" t="s">
        <v>15015</v>
      </c>
      <c r="UWL14" s="137" t="s">
        <v>15016</v>
      </c>
      <c r="UWM14" s="137" t="s">
        <v>15017</v>
      </c>
      <c r="UWN14" s="137" t="s">
        <v>15018</v>
      </c>
      <c r="UWO14" s="137" t="s">
        <v>15019</v>
      </c>
      <c r="UWP14" s="137" t="s">
        <v>15020</v>
      </c>
      <c r="UWQ14" s="137" t="s">
        <v>15021</v>
      </c>
      <c r="UWR14" s="137" t="s">
        <v>15022</v>
      </c>
      <c r="UWS14" s="137" t="s">
        <v>15023</v>
      </c>
      <c r="UWT14" s="137" t="s">
        <v>15024</v>
      </c>
      <c r="UWU14" s="137" t="s">
        <v>15025</v>
      </c>
      <c r="UWV14" s="137" t="s">
        <v>15026</v>
      </c>
      <c r="UWW14" s="137" t="s">
        <v>15027</v>
      </c>
      <c r="UWX14" s="137" t="s">
        <v>15028</v>
      </c>
      <c r="UWY14" s="137" t="s">
        <v>15029</v>
      </c>
      <c r="UWZ14" s="137" t="s">
        <v>15030</v>
      </c>
      <c r="UXA14" s="137" t="s">
        <v>15031</v>
      </c>
      <c r="UXB14" s="137" t="s">
        <v>15032</v>
      </c>
      <c r="UXC14" s="137" t="s">
        <v>15033</v>
      </c>
      <c r="UXD14" s="137" t="s">
        <v>15034</v>
      </c>
      <c r="UXE14" s="137" t="s">
        <v>15035</v>
      </c>
      <c r="UXF14" s="137" t="s">
        <v>15036</v>
      </c>
      <c r="UXG14" s="137" t="s">
        <v>15037</v>
      </c>
      <c r="UXH14" s="137" t="s">
        <v>15038</v>
      </c>
      <c r="UXI14" s="137" t="s">
        <v>15039</v>
      </c>
      <c r="UXJ14" s="137" t="s">
        <v>15040</v>
      </c>
      <c r="UXK14" s="137" t="s">
        <v>15041</v>
      </c>
      <c r="UXL14" s="137" t="s">
        <v>15042</v>
      </c>
      <c r="UXM14" s="137" t="s">
        <v>15043</v>
      </c>
      <c r="UXN14" s="137" t="s">
        <v>15044</v>
      </c>
      <c r="UXO14" s="137" t="s">
        <v>15045</v>
      </c>
      <c r="UXP14" s="137" t="s">
        <v>15046</v>
      </c>
      <c r="UXQ14" s="137" t="s">
        <v>15047</v>
      </c>
      <c r="UXR14" s="137" t="s">
        <v>15048</v>
      </c>
      <c r="UXS14" s="137" t="s">
        <v>15049</v>
      </c>
      <c r="UXT14" s="137" t="s">
        <v>15050</v>
      </c>
      <c r="UXU14" s="137" t="s">
        <v>15051</v>
      </c>
      <c r="UXV14" s="137" t="s">
        <v>15052</v>
      </c>
      <c r="UXW14" s="137" t="s">
        <v>15053</v>
      </c>
      <c r="UXX14" s="137" t="s">
        <v>15054</v>
      </c>
      <c r="UXY14" s="137" t="s">
        <v>15055</v>
      </c>
      <c r="UXZ14" s="137" t="s">
        <v>15056</v>
      </c>
      <c r="UYA14" s="137" t="s">
        <v>15057</v>
      </c>
      <c r="UYB14" s="137" t="s">
        <v>15058</v>
      </c>
      <c r="UYC14" s="137" t="s">
        <v>15059</v>
      </c>
      <c r="UYD14" s="137" t="s">
        <v>15060</v>
      </c>
      <c r="UYE14" s="137" t="s">
        <v>15061</v>
      </c>
      <c r="UYF14" s="137" t="s">
        <v>15062</v>
      </c>
      <c r="UYG14" s="137" t="s">
        <v>15063</v>
      </c>
      <c r="UYH14" s="137" t="s">
        <v>15064</v>
      </c>
      <c r="UYI14" s="137" t="s">
        <v>15065</v>
      </c>
      <c r="UYJ14" s="137" t="s">
        <v>15066</v>
      </c>
      <c r="UYK14" s="137" t="s">
        <v>15067</v>
      </c>
      <c r="UYL14" s="137" t="s">
        <v>15068</v>
      </c>
      <c r="UYM14" s="137" t="s">
        <v>15069</v>
      </c>
      <c r="UYN14" s="137" t="s">
        <v>15070</v>
      </c>
      <c r="UYO14" s="137" t="s">
        <v>15071</v>
      </c>
      <c r="UYP14" s="137" t="s">
        <v>15072</v>
      </c>
      <c r="UYQ14" s="137" t="s">
        <v>15073</v>
      </c>
      <c r="UYR14" s="137" t="s">
        <v>15074</v>
      </c>
      <c r="UYS14" s="137" t="s">
        <v>15075</v>
      </c>
      <c r="UYT14" s="137" t="s">
        <v>15076</v>
      </c>
      <c r="UYU14" s="137" t="s">
        <v>15077</v>
      </c>
      <c r="UYV14" s="137" t="s">
        <v>15078</v>
      </c>
      <c r="UYW14" s="137" t="s">
        <v>15079</v>
      </c>
      <c r="UYX14" s="137" t="s">
        <v>15080</v>
      </c>
      <c r="UYY14" s="137" t="s">
        <v>15081</v>
      </c>
      <c r="UYZ14" s="137" t="s">
        <v>15082</v>
      </c>
      <c r="UZA14" s="137" t="s">
        <v>15083</v>
      </c>
      <c r="UZB14" s="137" t="s">
        <v>15084</v>
      </c>
      <c r="UZC14" s="137" t="s">
        <v>15085</v>
      </c>
      <c r="UZD14" s="137" t="s">
        <v>15086</v>
      </c>
      <c r="UZE14" s="137" t="s">
        <v>15087</v>
      </c>
      <c r="UZF14" s="137" t="s">
        <v>15088</v>
      </c>
      <c r="UZG14" s="137" t="s">
        <v>15089</v>
      </c>
      <c r="UZH14" s="137" t="s">
        <v>15090</v>
      </c>
      <c r="UZI14" s="137" t="s">
        <v>15091</v>
      </c>
      <c r="UZJ14" s="137" t="s">
        <v>15092</v>
      </c>
      <c r="UZK14" s="137" t="s">
        <v>15093</v>
      </c>
      <c r="UZL14" s="137" t="s">
        <v>15094</v>
      </c>
      <c r="UZM14" s="137" t="s">
        <v>15095</v>
      </c>
      <c r="UZN14" s="137" t="s">
        <v>15096</v>
      </c>
      <c r="UZO14" s="137" t="s">
        <v>15097</v>
      </c>
      <c r="UZP14" s="137" t="s">
        <v>15098</v>
      </c>
      <c r="UZQ14" s="137" t="s">
        <v>15099</v>
      </c>
      <c r="UZR14" s="137" t="s">
        <v>15100</v>
      </c>
      <c r="UZS14" s="137" t="s">
        <v>15101</v>
      </c>
      <c r="UZT14" s="137" t="s">
        <v>15102</v>
      </c>
      <c r="UZU14" s="137" t="s">
        <v>15103</v>
      </c>
      <c r="UZV14" s="137" t="s">
        <v>15104</v>
      </c>
      <c r="UZW14" s="137" t="s">
        <v>15105</v>
      </c>
      <c r="UZX14" s="137" t="s">
        <v>15106</v>
      </c>
      <c r="UZY14" s="137" t="s">
        <v>15107</v>
      </c>
      <c r="UZZ14" s="137" t="s">
        <v>15108</v>
      </c>
      <c r="VAA14" s="137" t="s">
        <v>15109</v>
      </c>
      <c r="VAB14" s="137" t="s">
        <v>15110</v>
      </c>
      <c r="VAC14" s="137" t="s">
        <v>15111</v>
      </c>
      <c r="VAD14" s="137" t="s">
        <v>15112</v>
      </c>
      <c r="VAE14" s="137" t="s">
        <v>15113</v>
      </c>
      <c r="VAF14" s="137" t="s">
        <v>15114</v>
      </c>
      <c r="VAG14" s="137" t="s">
        <v>15115</v>
      </c>
      <c r="VAH14" s="137" t="s">
        <v>15116</v>
      </c>
      <c r="VAI14" s="137" t="s">
        <v>15117</v>
      </c>
      <c r="VAJ14" s="137" t="s">
        <v>15118</v>
      </c>
      <c r="VAK14" s="137" t="s">
        <v>15119</v>
      </c>
      <c r="VAL14" s="137" t="s">
        <v>15120</v>
      </c>
      <c r="VAM14" s="137" t="s">
        <v>15121</v>
      </c>
      <c r="VAN14" s="137" t="s">
        <v>15122</v>
      </c>
      <c r="VAO14" s="137" t="s">
        <v>15123</v>
      </c>
      <c r="VAP14" s="137" t="s">
        <v>15124</v>
      </c>
      <c r="VAQ14" s="137" t="s">
        <v>15125</v>
      </c>
      <c r="VAR14" s="137" t="s">
        <v>15126</v>
      </c>
      <c r="VAS14" s="137" t="s">
        <v>15127</v>
      </c>
      <c r="VAT14" s="137" t="s">
        <v>15128</v>
      </c>
      <c r="VAU14" s="137" t="s">
        <v>15129</v>
      </c>
      <c r="VAV14" s="137" t="s">
        <v>15130</v>
      </c>
      <c r="VAW14" s="137" t="s">
        <v>15131</v>
      </c>
      <c r="VAX14" s="137" t="s">
        <v>15132</v>
      </c>
      <c r="VAY14" s="137" t="s">
        <v>15133</v>
      </c>
      <c r="VAZ14" s="137" t="s">
        <v>15134</v>
      </c>
      <c r="VBA14" s="137" t="s">
        <v>15135</v>
      </c>
      <c r="VBB14" s="137" t="s">
        <v>15136</v>
      </c>
      <c r="VBC14" s="137" t="s">
        <v>15137</v>
      </c>
      <c r="VBD14" s="137" t="s">
        <v>15138</v>
      </c>
      <c r="VBE14" s="137" t="s">
        <v>15139</v>
      </c>
      <c r="VBF14" s="137" t="s">
        <v>15140</v>
      </c>
      <c r="VBG14" s="137" t="s">
        <v>15141</v>
      </c>
      <c r="VBH14" s="137" t="s">
        <v>15142</v>
      </c>
      <c r="VBI14" s="137" t="s">
        <v>15143</v>
      </c>
      <c r="VBJ14" s="137" t="s">
        <v>15144</v>
      </c>
      <c r="VBK14" s="137" t="s">
        <v>15145</v>
      </c>
      <c r="VBL14" s="137" t="s">
        <v>15146</v>
      </c>
      <c r="VBM14" s="137" t="s">
        <v>15147</v>
      </c>
      <c r="VBN14" s="137" t="s">
        <v>15148</v>
      </c>
      <c r="VBO14" s="137" t="s">
        <v>15149</v>
      </c>
      <c r="VBP14" s="137" t="s">
        <v>15150</v>
      </c>
      <c r="VBQ14" s="137" t="s">
        <v>15151</v>
      </c>
      <c r="VBR14" s="137" t="s">
        <v>15152</v>
      </c>
      <c r="VBS14" s="137" t="s">
        <v>15153</v>
      </c>
      <c r="VBT14" s="137" t="s">
        <v>15154</v>
      </c>
      <c r="VBU14" s="137" t="s">
        <v>15155</v>
      </c>
      <c r="VBV14" s="137" t="s">
        <v>15156</v>
      </c>
      <c r="VBW14" s="137" t="s">
        <v>15157</v>
      </c>
      <c r="VBX14" s="137" t="s">
        <v>15158</v>
      </c>
      <c r="VBY14" s="137" t="s">
        <v>15159</v>
      </c>
      <c r="VBZ14" s="137" t="s">
        <v>15160</v>
      </c>
      <c r="VCA14" s="137" t="s">
        <v>15161</v>
      </c>
      <c r="VCB14" s="137" t="s">
        <v>15162</v>
      </c>
      <c r="VCC14" s="137" t="s">
        <v>15163</v>
      </c>
      <c r="VCD14" s="137" t="s">
        <v>15164</v>
      </c>
      <c r="VCE14" s="137" t="s">
        <v>15165</v>
      </c>
      <c r="VCF14" s="137" t="s">
        <v>15166</v>
      </c>
      <c r="VCG14" s="137" t="s">
        <v>15167</v>
      </c>
      <c r="VCH14" s="137" t="s">
        <v>15168</v>
      </c>
      <c r="VCI14" s="137" t="s">
        <v>15169</v>
      </c>
      <c r="VCJ14" s="137" t="s">
        <v>15170</v>
      </c>
      <c r="VCK14" s="137" t="s">
        <v>15171</v>
      </c>
      <c r="VCL14" s="137" t="s">
        <v>15172</v>
      </c>
      <c r="VCM14" s="137" t="s">
        <v>15173</v>
      </c>
      <c r="VCN14" s="137" t="s">
        <v>15174</v>
      </c>
      <c r="VCO14" s="137" t="s">
        <v>15175</v>
      </c>
      <c r="VCP14" s="137" t="s">
        <v>15176</v>
      </c>
      <c r="VCQ14" s="137" t="s">
        <v>15177</v>
      </c>
      <c r="VCR14" s="137" t="s">
        <v>15178</v>
      </c>
      <c r="VCS14" s="137" t="s">
        <v>15179</v>
      </c>
      <c r="VCT14" s="137" t="s">
        <v>15180</v>
      </c>
      <c r="VCU14" s="137" t="s">
        <v>15181</v>
      </c>
      <c r="VCV14" s="137" t="s">
        <v>15182</v>
      </c>
      <c r="VCW14" s="137" t="s">
        <v>15183</v>
      </c>
      <c r="VCX14" s="137" t="s">
        <v>15184</v>
      </c>
      <c r="VCY14" s="137" t="s">
        <v>15185</v>
      </c>
      <c r="VCZ14" s="137" t="s">
        <v>15186</v>
      </c>
      <c r="VDA14" s="137" t="s">
        <v>15187</v>
      </c>
      <c r="VDB14" s="137" t="s">
        <v>15188</v>
      </c>
      <c r="VDC14" s="137" t="s">
        <v>15189</v>
      </c>
      <c r="VDD14" s="137" t="s">
        <v>15190</v>
      </c>
      <c r="VDE14" s="137" t="s">
        <v>15191</v>
      </c>
      <c r="VDF14" s="137" t="s">
        <v>15192</v>
      </c>
      <c r="VDG14" s="137" t="s">
        <v>15193</v>
      </c>
      <c r="VDH14" s="137" t="s">
        <v>15194</v>
      </c>
      <c r="VDI14" s="137" t="s">
        <v>15195</v>
      </c>
      <c r="VDJ14" s="137" t="s">
        <v>15196</v>
      </c>
      <c r="VDK14" s="137" t="s">
        <v>15197</v>
      </c>
      <c r="VDL14" s="137" t="s">
        <v>15198</v>
      </c>
      <c r="VDM14" s="137" t="s">
        <v>15199</v>
      </c>
      <c r="VDN14" s="137" t="s">
        <v>15200</v>
      </c>
      <c r="VDO14" s="137" t="s">
        <v>15201</v>
      </c>
      <c r="VDP14" s="137" t="s">
        <v>15202</v>
      </c>
      <c r="VDQ14" s="137" t="s">
        <v>15203</v>
      </c>
      <c r="VDR14" s="137" t="s">
        <v>15204</v>
      </c>
      <c r="VDS14" s="137" t="s">
        <v>15205</v>
      </c>
      <c r="VDT14" s="137" t="s">
        <v>15206</v>
      </c>
      <c r="VDU14" s="137" t="s">
        <v>15207</v>
      </c>
      <c r="VDV14" s="137" t="s">
        <v>15208</v>
      </c>
      <c r="VDW14" s="137" t="s">
        <v>15209</v>
      </c>
      <c r="VDX14" s="137" t="s">
        <v>15210</v>
      </c>
      <c r="VDY14" s="137" t="s">
        <v>15211</v>
      </c>
      <c r="VDZ14" s="137" t="s">
        <v>15212</v>
      </c>
      <c r="VEA14" s="137" t="s">
        <v>15213</v>
      </c>
      <c r="VEB14" s="137" t="s">
        <v>15214</v>
      </c>
      <c r="VEC14" s="137" t="s">
        <v>15215</v>
      </c>
      <c r="VED14" s="137" t="s">
        <v>15216</v>
      </c>
      <c r="VEE14" s="137" t="s">
        <v>15217</v>
      </c>
      <c r="VEF14" s="137" t="s">
        <v>15218</v>
      </c>
      <c r="VEG14" s="137" t="s">
        <v>15219</v>
      </c>
      <c r="VEH14" s="137" t="s">
        <v>15220</v>
      </c>
      <c r="VEI14" s="137" t="s">
        <v>15221</v>
      </c>
      <c r="VEJ14" s="137" t="s">
        <v>15222</v>
      </c>
      <c r="VEK14" s="137" t="s">
        <v>15223</v>
      </c>
      <c r="VEL14" s="137" t="s">
        <v>15224</v>
      </c>
      <c r="VEM14" s="137" t="s">
        <v>15225</v>
      </c>
      <c r="VEN14" s="137" t="s">
        <v>15226</v>
      </c>
      <c r="VEO14" s="137" t="s">
        <v>15227</v>
      </c>
      <c r="VEP14" s="137" t="s">
        <v>15228</v>
      </c>
      <c r="VEQ14" s="137" t="s">
        <v>15229</v>
      </c>
      <c r="VER14" s="137" t="s">
        <v>15230</v>
      </c>
      <c r="VES14" s="137" t="s">
        <v>15231</v>
      </c>
      <c r="VET14" s="137" t="s">
        <v>15232</v>
      </c>
      <c r="VEU14" s="137" t="s">
        <v>15233</v>
      </c>
      <c r="VEV14" s="137" t="s">
        <v>15234</v>
      </c>
      <c r="VEW14" s="137" t="s">
        <v>15235</v>
      </c>
      <c r="VEX14" s="137" t="s">
        <v>15236</v>
      </c>
      <c r="VEY14" s="137" t="s">
        <v>15237</v>
      </c>
      <c r="VEZ14" s="137" t="s">
        <v>15238</v>
      </c>
      <c r="VFA14" s="137" t="s">
        <v>15239</v>
      </c>
      <c r="VFB14" s="137" t="s">
        <v>15240</v>
      </c>
      <c r="VFC14" s="137" t="s">
        <v>15241</v>
      </c>
      <c r="VFD14" s="137" t="s">
        <v>15242</v>
      </c>
      <c r="VFE14" s="137" t="s">
        <v>15243</v>
      </c>
      <c r="VFF14" s="137" t="s">
        <v>15244</v>
      </c>
      <c r="VFG14" s="137" t="s">
        <v>15245</v>
      </c>
      <c r="VFH14" s="137" t="s">
        <v>15246</v>
      </c>
      <c r="VFI14" s="137" t="s">
        <v>15247</v>
      </c>
      <c r="VFJ14" s="137" t="s">
        <v>15248</v>
      </c>
      <c r="VFK14" s="137" t="s">
        <v>15249</v>
      </c>
      <c r="VFL14" s="137" t="s">
        <v>15250</v>
      </c>
      <c r="VFM14" s="137" t="s">
        <v>15251</v>
      </c>
      <c r="VFN14" s="137" t="s">
        <v>15252</v>
      </c>
      <c r="VFO14" s="137" t="s">
        <v>15253</v>
      </c>
      <c r="VFP14" s="137" t="s">
        <v>15254</v>
      </c>
      <c r="VFQ14" s="137" t="s">
        <v>15255</v>
      </c>
      <c r="VFR14" s="137" t="s">
        <v>15256</v>
      </c>
      <c r="VFS14" s="137" t="s">
        <v>15257</v>
      </c>
      <c r="VFT14" s="137" t="s">
        <v>15258</v>
      </c>
      <c r="VFU14" s="137" t="s">
        <v>15259</v>
      </c>
      <c r="VFV14" s="137" t="s">
        <v>15260</v>
      </c>
      <c r="VFW14" s="137" t="s">
        <v>15261</v>
      </c>
      <c r="VFX14" s="137" t="s">
        <v>15262</v>
      </c>
      <c r="VFY14" s="137" t="s">
        <v>15263</v>
      </c>
      <c r="VFZ14" s="137" t="s">
        <v>15264</v>
      </c>
      <c r="VGA14" s="137" t="s">
        <v>15265</v>
      </c>
      <c r="VGB14" s="137" t="s">
        <v>15266</v>
      </c>
      <c r="VGC14" s="137" t="s">
        <v>15267</v>
      </c>
      <c r="VGD14" s="137" t="s">
        <v>15268</v>
      </c>
      <c r="VGE14" s="137" t="s">
        <v>15269</v>
      </c>
      <c r="VGF14" s="137" t="s">
        <v>15270</v>
      </c>
      <c r="VGG14" s="137" t="s">
        <v>15271</v>
      </c>
      <c r="VGH14" s="137" t="s">
        <v>15272</v>
      </c>
      <c r="VGI14" s="137" t="s">
        <v>15273</v>
      </c>
      <c r="VGJ14" s="137" t="s">
        <v>15274</v>
      </c>
      <c r="VGK14" s="137" t="s">
        <v>15275</v>
      </c>
      <c r="VGL14" s="137" t="s">
        <v>15276</v>
      </c>
      <c r="VGM14" s="137" t="s">
        <v>15277</v>
      </c>
      <c r="VGN14" s="137" t="s">
        <v>15278</v>
      </c>
      <c r="VGO14" s="137" t="s">
        <v>15279</v>
      </c>
      <c r="VGP14" s="137" t="s">
        <v>15280</v>
      </c>
      <c r="VGQ14" s="137" t="s">
        <v>15281</v>
      </c>
      <c r="VGR14" s="137" t="s">
        <v>15282</v>
      </c>
      <c r="VGS14" s="137" t="s">
        <v>15283</v>
      </c>
      <c r="VGT14" s="137" t="s">
        <v>15284</v>
      </c>
      <c r="VGU14" s="137" t="s">
        <v>15285</v>
      </c>
      <c r="VGV14" s="137" t="s">
        <v>15286</v>
      </c>
      <c r="VGW14" s="137" t="s">
        <v>15287</v>
      </c>
      <c r="VGX14" s="137" t="s">
        <v>15288</v>
      </c>
      <c r="VGY14" s="137" t="s">
        <v>15289</v>
      </c>
      <c r="VGZ14" s="137" t="s">
        <v>15290</v>
      </c>
      <c r="VHA14" s="137" t="s">
        <v>15291</v>
      </c>
      <c r="VHB14" s="137" t="s">
        <v>15292</v>
      </c>
      <c r="VHC14" s="137" t="s">
        <v>15293</v>
      </c>
      <c r="VHD14" s="137" t="s">
        <v>15294</v>
      </c>
      <c r="VHE14" s="137" t="s">
        <v>15295</v>
      </c>
      <c r="VHF14" s="137" t="s">
        <v>15296</v>
      </c>
      <c r="VHG14" s="137" t="s">
        <v>15297</v>
      </c>
      <c r="VHH14" s="137" t="s">
        <v>15298</v>
      </c>
      <c r="VHI14" s="137" t="s">
        <v>15299</v>
      </c>
      <c r="VHJ14" s="137" t="s">
        <v>15300</v>
      </c>
      <c r="VHK14" s="137" t="s">
        <v>15301</v>
      </c>
      <c r="VHL14" s="137" t="s">
        <v>15302</v>
      </c>
      <c r="VHM14" s="137" t="s">
        <v>15303</v>
      </c>
      <c r="VHN14" s="137" t="s">
        <v>15304</v>
      </c>
      <c r="VHO14" s="137" t="s">
        <v>15305</v>
      </c>
      <c r="VHP14" s="137" t="s">
        <v>15306</v>
      </c>
      <c r="VHQ14" s="137" t="s">
        <v>15307</v>
      </c>
      <c r="VHR14" s="137" t="s">
        <v>15308</v>
      </c>
      <c r="VHS14" s="137" t="s">
        <v>15309</v>
      </c>
      <c r="VHT14" s="137" t="s">
        <v>15310</v>
      </c>
      <c r="VHU14" s="137" t="s">
        <v>15311</v>
      </c>
      <c r="VHV14" s="137" t="s">
        <v>15312</v>
      </c>
      <c r="VHW14" s="137" t="s">
        <v>15313</v>
      </c>
      <c r="VHX14" s="137" t="s">
        <v>15314</v>
      </c>
      <c r="VHY14" s="137" t="s">
        <v>15315</v>
      </c>
      <c r="VHZ14" s="137" t="s">
        <v>15316</v>
      </c>
      <c r="VIA14" s="137" t="s">
        <v>15317</v>
      </c>
      <c r="VIB14" s="137" t="s">
        <v>15318</v>
      </c>
      <c r="VIC14" s="137" t="s">
        <v>15319</v>
      </c>
      <c r="VID14" s="137" t="s">
        <v>15320</v>
      </c>
      <c r="VIE14" s="137" t="s">
        <v>15321</v>
      </c>
      <c r="VIF14" s="137" t="s">
        <v>15322</v>
      </c>
      <c r="VIG14" s="137" t="s">
        <v>15323</v>
      </c>
      <c r="VIH14" s="137" t="s">
        <v>15324</v>
      </c>
      <c r="VII14" s="137" t="s">
        <v>15325</v>
      </c>
      <c r="VIJ14" s="137" t="s">
        <v>15326</v>
      </c>
      <c r="VIK14" s="137" t="s">
        <v>15327</v>
      </c>
      <c r="VIL14" s="137" t="s">
        <v>15328</v>
      </c>
      <c r="VIM14" s="137" t="s">
        <v>15329</v>
      </c>
      <c r="VIN14" s="137" t="s">
        <v>15330</v>
      </c>
      <c r="VIO14" s="137" t="s">
        <v>15331</v>
      </c>
      <c r="VIP14" s="137" t="s">
        <v>15332</v>
      </c>
      <c r="VIQ14" s="137" t="s">
        <v>15333</v>
      </c>
      <c r="VIR14" s="137" t="s">
        <v>15334</v>
      </c>
      <c r="VIS14" s="137" t="s">
        <v>15335</v>
      </c>
      <c r="VIT14" s="137" t="s">
        <v>15336</v>
      </c>
      <c r="VIU14" s="137" t="s">
        <v>15337</v>
      </c>
      <c r="VIV14" s="137" t="s">
        <v>15338</v>
      </c>
      <c r="VIW14" s="137" t="s">
        <v>15339</v>
      </c>
      <c r="VIX14" s="137" t="s">
        <v>15340</v>
      </c>
      <c r="VIY14" s="137" t="s">
        <v>15341</v>
      </c>
      <c r="VIZ14" s="137" t="s">
        <v>15342</v>
      </c>
      <c r="VJA14" s="137" t="s">
        <v>15343</v>
      </c>
      <c r="VJB14" s="137" t="s">
        <v>15344</v>
      </c>
      <c r="VJC14" s="137" t="s">
        <v>15345</v>
      </c>
      <c r="VJD14" s="137" t="s">
        <v>15346</v>
      </c>
      <c r="VJE14" s="137" t="s">
        <v>15347</v>
      </c>
      <c r="VJF14" s="137" t="s">
        <v>15348</v>
      </c>
      <c r="VJG14" s="137" t="s">
        <v>15349</v>
      </c>
      <c r="VJH14" s="137" t="s">
        <v>15350</v>
      </c>
      <c r="VJI14" s="137" t="s">
        <v>15351</v>
      </c>
      <c r="VJJ14" s="137" t="s">
        <v>15352</v>
      </c>
      <c r="VJK14" s="137" t="s">
        <v>15353</v>
      </c>
      <c r="VJL14" s="137" t="s">
        <v>15354</v>
      </c>
      <c r="VJM14" s="137" t="s">
        <v>15355</v>
      </c>
      <c r="VJN14" s="137" t="s">
        <v>15356</v>
      </c>
      <c r="VJO14" s="137" t="s">
        <v>15357</v>
      </c>
      <c r="VJP14" s="137" t="s">
        <v>15358</v>
      </c>
      <c r="VJQ14" s="137" t="s">
        <v>15359</v>
      </c>
      <c r="VJR14" s="137" t="s">
        <v>15360</v>
      </c>
      <c r="VJS14" s="137" t="s">
        <v>15361</v>
      </c>
      <c r="VJT14" s="137" t="s">
        <v>15362</v>
      </c>
      <c r="VJU14" s="137" t="s">
        <v>15363</v>
      </c>
      <c r="VJV14" s="137" t="s">
        <v>15364</v>
      </c>
      <c r="VJW14" s="137" t="s">
        <v>15365</v>
      </c>
      <c r="VJX14" s="137" t="s">
        <v>15366</v>
      </c>
      <c r="VJY14" s="137" t="s">
        <v>15367</v>
      </c>
      <c r="VJZ14" s="137" t="s">
        <v>15368</v>
      </c>
      <c r="VKA14" s="137" t="s">
        <v>15369</v>
      </c>
      <c r="VKB14" s="137" t="s">
        <v>15370</v>
      </c>
      <c r="VKC14" s="137" t="s">
        <v>15371</v>
      </c>
      <c r="VKD14" s="137" t="s">
        <v>15372</v>
      </c>
      <c r="VKE14" s="137" t="s">
        <v>15373</v>
      </c>
      <c r="VKF14" s="137" t="s">
        <v>15374</v>
      </c>
      <c r="VKG14" s="137" t="s">
        <v>15375</v>
      </c>
      <c r="VKH14" s="137" t="s">
        <v>15376</v>
      </c>
      <c r="VKI14" s="137" t="s">
        <v>15377</v>
      </c>
      <c r="VKJ14" s="137" t="s">
        <v>15378</v>
      </c>
      <c r="VKK14" s="137" t="s">
        <v>15379</v>
      </c>
      <c r="VKL14" s="137" t="s">
        <v>15380</v>
      </c>
      <c r="VKM14" s="137" t="s">
        <v>15381</v>
      </c>
      <c r="VKN14" s="137" t="s">
        <v>15382</v>
      </c>
      <c r="VKO14" s="137" t="s">
        <v>15383</v>
      </c>
      <c r="VKP14" s="137" t="s">
        <v>15384</v>
      </c>
      <c r="VKQ14" s="137" t="s">
        <v>15385</v>
      </c>
      <c r="VKR14" s="137" t="s">
        <v>15386</v>
      </c>
      <c r="VKS14" s="137" t="s">
        <v>15387</v>
      </c>
      <c r="VKT14" s="137" t="s">
        <v>15388</v>
      </c>
      <c r="VKU14" s="137" t="s">
        <v>15389</v>
      </c>
      <c r="VKV14" s="137" t="s">
        <v>15390</v>
      </c>
      <c r="VKW14" s="137" t="s">
        <v>15391</v>
      </c>
      <c r="VKX14" s="137" t="s">
        <v>15392</v>
      </c>
      <c r="VKY14" s="137" t="s">
        <v>15393</v>
      </c>
      <c r="VKZ14" s="137" t="s">
        <v>15394</v>
      </c>
      <c r="VLA14" s="137" t="s">
        <v>15395</v>
      </c>
      <c r="VLB14" s="137" t="s">
        <v>15396</v>
      </c>
      <c r="VLC14" s="137" t="s">
        <v>15397</v>
      </c>
      <c r="VLD14" s="137" t="s">
        <v>15398</v>
      </c>
      <c r="VLE14" s="137" t="s">
        <v>15399</v>
      </c>
      <c r="VLF14" s="137" t="s">
        <v>15400</v>
      </c>
      <c r="VLG14" s="137" t="s">
        <v>15401</v>
      </c>
      <c r="VLH14" s="137" t="s">
        <v>15402</v>
      </c>
      <c r="VLI14" s="137" t="s">
        <v>15403</v>
      </c>
      <c r="VLJ14" s="137" t="s">
        <v>15404</v>
      </c>
      <c r="VLK14" s="137" t="s">
        <v>15405</v>
      </c>
      <c r="VLL14" s="137" t="s">
        <v>15406</v>
      </c>
      <c r="VLM14" s="137" t="s">
        <v>15407</v>
      </c>
      <c r="VLN14" s="137" t="s">
        <v>15408</v>
      </c>
      <c r="VLO14" s="137" t="s">
        <v>15409</v>
      </c>
      <c r="VLP14" s="137" t="s">
        <v>15410</v>
      </c>
      <c r="VLQ14" s="137" t="s">
        <v>15411</v>
      </c>
      <c r="VLR14" s="137" t="s">
        <v>15412</v>
      </c>
      <c r="VLS14" s="137" t="s">
        <v>15413</v>
      </c>
      <c r="VLT14" s="137" t="s">
        <v>15414</v>
      </c>
      <c r="VLU14" s="137" t="s">
        <v>15415</v>
      </c>
      <c r="VLV14" s="137" t="s">
        <v>15416</v>
      </c>
      <c r="VLW14" s="137" t="s">
        <v>15417</v>
      </c>
      <c r="VLX14" s="137" t="s">
        <v>15418</v>
      </c>
      <c r="VLY14" s="137" t="s">
        <v>15419</v>
      </c>
      <c r="VLZ14" s="137" t="s">
        <v>15420</v>
      </c>
      <c r="VMA14" s="137" t="s">
        <v>15421</v>
      </c>
      <c r="VMB14" s="137" t="s">
        <v>15422</v>
      </c>
      <c r="VMC14" s="137" t="s">
        <v>15423</v>
      </c>
      <c r="VMD14" s="137" t="s">
        <v>15424</v>
      </c>
      <c r="VME14" s="137" t="s">
        <v>15425</v>
      </c>
      <c r="VMF14" s="137" t="s">
        <v>15426</v>
      </c>
      <c r="VMG14" s="137" t="s">
        <v>15427</v>
      </c>
      <c r="VMH14" s="137" t="s">
        <v>15428</v>
      </c>
      <c r="VMI14" s="137" t="s">
        <v>15429</v>
      </c>
      <c r="VMJ14" s="137" t="s">
        <v>15430</v>
      </c>
      <c r="VMK14" s="137" t="s">
        <v>15431</v>
      </c>
      <c r="VML14" s="137" t="s">
        <v>15432</v>
      </c>
      <c r="VMM14" s="137" t="s">
        <v>15433</v>
      </c>
      <c r="VMN14" s="137" t="s">
        <v>15434</v>
      </c>
      <c r="VMO14" s="137" t="s">
        <v>15435</v>
      </c>
      <c r="VMP14" s="137" t="s">
        <v>15436</v>
      </c>
      <c r="VMQ14" s="137" t="s">
        <v>15437</v>
      </c>
      <c r="VMR14" s="137" t="s">
        <v>15438</v>
      </c>
      <c r="VMS14" s="137" t="s">
        <v>15439</v>
      </c>
      <c r="VMT14" s="137" t="s">
        <v>15440</v>
      </c>
      <c r="VMU14" s="137" t="s">
        <v>15441</v>
      </c>
      <c r="VMV14" s="137" t="s">
        <v>15442</v>
      </c>
      <c r="VMW14" s="137" t="s">
        <v>15443</v>
      </c>
      <c r="VMX14" s="137" t="s">
        <v>15444</v>
      </c>
      <c r="VMY14" s="137" t="s">
        <v>15445</v>
      </c>
      <c r="VMZ14" s="137" t="s">
        <v>15446</v>
      </c>
      <c r="VNA14" s="137" t="s">
        <v>15447</v>
      </c>
      <c r="VNB14" s="137" t="s">
        <v>15448</v>
      </c>
      <c r="VNC14" s="137" t="s">
        <v>15449</v>
      </c>
      <c r="VND14" s="137" t="s">
        <v>15450</v>
      </c>
      <c r="VNE14" s="137" t="s">
        <v>15451</v>
      </c>
      <c r="VNF14" s="137" t="s">
        <v>15452</v>
      </c>
      <c r="VNG14" s="137" t="s">
        <v>15453</v>
      </c>
      <c r="VNH14" s="137" t="s">
        <v>15454</v>
      </c>
      <c r="VNI14" s="137" t="s">
        <v>15455</v>
      </c>
      <c r="VNJ14" s="137" t="s">
        <v>15456</v>
      </c>
      <c r="VNK14" s="137" t="s">
        <v>15457</v>
      </c>
      <c r="VNL14" s="137" t="s">
        <v>15458</v>
      </c>
      <c r="VNM14" s="137" t="s">
        <v>15459</v>
      </c>
      <c r="VNN14" s="137" t="s">
        <v>15460</v>
      </c>
      <c r="VNO14" s="137" t="s">
        <v>15461</v>
      </c>
      <c r="VNP14" s="137" t="s">
        <v>15462</v>
      </c>
      <c r="VNQ14" s="137" t="s">
        <v>15463</v>
      </c>
      <c r="VNR14" s="137" t="s">
        <v>15464</v>
      </c>
      <c r="VNS14" s="137" t="s">
        <v>15465</v>
      </c>
      <c r="VNT14" s="137" t="s">
        <v>15466</v>
      </c>
      <c r="VNU14" s="137" t="s">
        <v>15467</v>
      </c>
      <c r="VNV14" s="137" t="s">
        <v>15468</v>
      </c>
      <c r="VNW14" s="137" t="s">
        <v>15469</v>
      </c>
      <c r="VNX14" s="137" t="s">
        <v>15470</v>
      </c>
      <c r="VNY14" s="137" t="s">
        <v>15471</v>
      </c>
      <c r="VNZ14" s="137" t="s">
        <v>15472</v>
      </c>
      <c r="VOA14" s="137" t="s">
        <v>15473</v>
      </c>
      <c r="VOB14" s="137" t="s">
        <v>15474</v>
      </c>
      <c r="VOC14" s="137" t="s">
        <v>15475</v>
      </c>
      <c r="VOD14" s="137" t="s">
        <v>15476</v>
      </c>
      <c r="VOE14" s="137" t="s">
        <v>15477</v>
      </c>
      <c r="VOF14" s="137" t="s">
        <v>15478</v>
      </c>
      <c r="VOG14" s="137" t="s">
        <v>15479</v>
      </c>
      <c r="VOH14" s="137" t="s">
        <v>15480</v>
      </c>
      <c r="VOI14" s="137" t="s">
        <v>15481</v>
      </c>
      <c r="VOJ14" s="137" t="s">
        <v>15482</v>
      </c>
      <c r="VOK14" s="137" t="s">
        <v>15483</v>
      </c>
      <c r="VOL14" s="137" t="s">
        <v>15484</v>
      </c>
      <c r="VOM14" s="137" t="s">
        <v>15485</v>
      </c>
      <c r="VON14" s="137" t="s">
        <v>15486</v>
      </c>
      <c r="VOO14" s="137" t="s">
        <v>15487</v>
      </c>
      <c r="VOP14" s="137" t="s">
        <v>15488</v>
      </c>
      <c r="VOQ14" s="137" t="s">
        <v>15489</v>
      </c>
      <c r="VOR14" s="137" t="s">
        <v>15490</v>
      </c>
      <c r="VOS14" s="137" t="s">
        <v>15491</v>
      </c>
      <c r="VOT14" s="137" t="s">
        <v>15492</v>
      </c>
      <c r="VOU14" s="137" t="s">
        <v>15493</v>
      </c>
      <c r="VOV14" s="137" t="s">
        <v>15494</v>
      </c>
      <c r="VOW14" s="137" t="s">
        <v>15495</v>
      </c>
      <c r="VOX14" s="137" t="s">
        <v>15496</v>
      </c>
      <c r="VOY14" s="137" t="s">
        <v>15497</v>
      </c>
      <c r="VOZ14" s="137" t="s">
        <v>15498</v>
      </c>
      <c r="VPA14" s="137" t="s">
        <v>15499</v>
      </c>
      <c r="VPB14" s="137" t="s">
        <v>15500</v>
      </c>
      <c r="VPC14" s="137" t="s">
        <v>15501</v>
      </c>
      <c r="VPD14" s="137" t="s">
        <v>15502</v>
      </c>
      <c r="VPE14" s="137" t="s">
        <v>15503</v>
      </c>
      <c r="VPF14" s="137" t="s">
        <v>15504</v>
      </c>
      <c r="VPG14" s="137" t="s">
        <v>15505</v>
      </c>
      <c r="VPH14" s="137" t="s">
        <v>15506</v>
      </c>
      <c r="VPI14" s="137" t="s">
        <v>15507</v>
      </c>
      <c r="VPJ14" s="137" t="s">
        <v>15508</v>
      </c>
      <c r="VPK14" s="137" t="s">
        <v>15509</v>
      </c>
      <c r="VPL14" s="137" t="s">
        <v>15510</v>
      </c>
      <c r="VPM14" s="137" t="s">
        <v>15511</v>
      </c>
      <c r="VPN14" s="137" t="s">
        <v>15512</v>
      </c>
      <c r="VPO14" s="137" t="s">
        <v>15513</v>
      </c>
      <c r="VPP14" s="137" t="s">
        <v>15514</v>
      </c>
      <c r="VPQ14" s="137" t="s">
        <v>15515</v>
      </c>
      <c r="VPR14" s="137" t="s">
        <v>15516</v>
      </c>
      <c r="VPS14" s="137" t="s">
        <v>15517</v>
      </c>
      <c r="VPT14" s="137" t="s">
        <v>15518</v>
      </c>
      <c r="VPU14" s="137" t="s">
        <v>15519</v>
      </c>
      <c r="VPV14" s="137" t="s">
        <v>15520</v>
      </c>
      <c r="VPW14" s="137" t="s">
        <v>15521</v>
      </c>
      <c r="VPX14" s="137" t="s">
        <v>15522</v>
      </c>
      <c r="VPY14" s="137" t="s">
        <v>15523</v>
      </c>
      <c r="VPZ14" s="137" t="s">
        <v>15524</v>
      </c>
      <c r="VQA14" s="137" t="s">
        <v>15525</v>
      </c>
      <c r="VQB14" s="137" t="s">
        <v>15526</v>
      </c>
      <c r="VQC14" s="137" t="s">
        <v>15527</v>
      </c>
      <c r="VQD14" s="137" t="s">
        <v>15528</v>
      </c>
      <c r="VQE14" s="137" t="s">
        <v>15529</v>
      </c>
      <c r="VQF14" s="137" t="s">
        <v>15530</v>
      </c>
      <c r="VQG14" s="137" t="s">
        <v>15531</v>
      </c>
      <c r="VQH14" s="137" t="s">
        <v>15532</v>
      </c>
      <c r="VQI14" s="137" t="s">
        <v>15533</v>
      </c>
      <c r="VQJ14" s="137" t="s">
        <v>15534</v>
      </c>
      <c r="VQK14" s="137" t="s">
        <v>15535</v>
      </c>
      <c r="VQL14" s="137" t="s">
        <v>15536</v>
      </c>
      <c r="VQM14" s="137" t="s">
        <v>15537</v>
      </c>
      <c r="VQN14" s="137" t="s">
        <v>15538</v>
      </c>
      <c r="VQO14" s="137" t="s">
        <v>15539</v>
      </c>
      <c r="VQP14" s="137" t="s">
        <v>15540</v>
      </c>
      <c r="VQQ14" s="137" t="s">
        <v>15541</v>
      </c>
      <c r="VQR14" s="137" t="s">
        <v>15542</v>
      </c>
      <c r="VQS14" s="137" t="s">
        <v>15543</v>
      </c>
      <c r="VQT14" s="137" t="s">
        <v>15544</v>
      </c>
      <c r="VQU14" s="137" t="s">
        <v>15545</v>
      </c>
      <c r="VQV14" s="137" t="s">
        <v>15546</v>
      </c>
      <c r="VQW14" s="137" t="s">
        <v>15547</v>
      </c>
      <c r="VQX14" s="137" t="s">
        <v>15548</v>
      </c>
      <c r="VQY14" s="137" t="s">
        <v>15549</v>
      </c>
      <c r="VQZ14" s="137" t="s">
        <v>15550</v>
      </c>
      <c r="VRA14" s="137" t="s">
        <v>15551</v>
      </c>
      <c r="VRB14" s="137" t="s">
        <v>15552</v>
      </c>
      <c r="VRC14" s="137" t="s">
        <v>15553</v>
      </c>
      <c r="VRD14" s="137" t="s">
        <v>15554</v>
      </c>
      <c r="VRE14" s="137" t="s">
        <v>15555</v>
      </c>
      <c r="VRF14" s="137" t="s">
        <v>15556</v>
      </c>
      <c r="VRG14" s="137" t="s">
        <v>15557</v>
      </c>
      <c r="VRH14" s="137" t="s">
        <v>15558</v>
      </c>
      <c r="VRI14" s="137" t="s">
        <v>15559</v>
      </c>
      <c r="VRJ14" s="137" t="s">
        <v>15560</v>
      </c>
      <c r="VRK14" s="137" t="s">
        <v>15561</v>
      </c>
      <c r="VRL14" s="137" t="s">
        <v>15562</v>
      </c>
      <c r="VRM14" s="137" t="s">
        <v>15563</v>
      </c>
      <c r="VRN14" s="137" t="s">
        <v>15564</v>
      </c>
      <c r="VRO14" s="137" t="s">
        <v>15565</v>
      </c>
      <c r="VRP14" s="137" t="s">
        <v>15566</v>
      </c>
      <c r="VRQ14" s="137" t="s">
        <v>15567</v>
      </c>
      <c r="VRR14" s="137" t="s">
        <v>15568</v>
      </c>
      <c r="VRS14" s="137" t="s">
        <v>15569</v>
      </c>
      <c r="VRT14" s="137" t="s">
        <v>15570</v>
      </c>
      <c r="VRU14" s="137" t="s">
        <v>15571</v>
      </c>
      <c r="VRV14" s="137" t="s">
        <v>15572</v>
      </c>
      <c r="VRW14" s="137" t="s">
        <v>15573</v>
      </c>
      <c r="VRX14" s="137" t="s">
        <v>15574</v>
      </c>
      <c r="VRY14" s="137" t="s">
        <v>15575</v>
      </c>
      <c r="VRZ14" s="137" t="s">
        <v>15576</v>
      </c>
      <c r="VSA14" s="137" t="s">
        <v>15577</v>
      </c>
      <c r="VSB14" s="137" t="s">
        <v>15578</v>
      </c>
      <c r="VSC14" s="137" t="s">
        <v>15579</v>
      </c>
      <c r="VSD14" s="137" t="s">
        <v>15580</v>
      </c>
      <c r="VSE14" s="137" t="s">
        <v>15581</v>
      </c>
      <c r="VSF14" s="137" t="s">
        <v>15582</v>
      </c>
      <c r="VSG14" s="137" t="s">
        <v>15583</v>
      </c>
      <c r="VSH14" s="137" t="s">
        <v>15584</v>
      </c>
      <c r="VSI14" s="137" t="s">
        <v>15585</v>
      </c>
      <c r="VSJ14" s="137" t="s">
        <v>15586</v>
      </c>
      <c r="VSK14" s="137" t="s">
        <v>15587</v>
      </c>
      <c r="VSL14" s="137" t="s">
        <v>15588</v>
      </c>
      <c r="VSM14" s="137" t="s">
        <v>15589</v>
      </c>
      <c r="VSN14" s="137" t="s">
        <v>15590</v>
      </c>
      <c r="VSO14" s="137" t="s">
        <v>15591</v>
      </c>
      <c r="VSP14" s="137" t="s">
        <v>15592</v>
      </c>
      <c r="VSQ14" s="137" t="s">
        <v>15593</v>
      </c>
      <c r="VSR14" s="137" t="s">
        <v>15594</v>
      </c>
      <c r="VSS14" s="137" t="s">
        <v>15595</v>
      </c>
      <c r="VST14" s="137" t="s">
        <v>15596</v>
      </c>
      <c r="VSU14" s="137" t="s">
        <v>15597</v>
      </c>
      <c r="VSV14" s="137" t="s">
        <v>15598</v>
      </c>
      <c r="VSW14" s="137" t="s">
        <v>15599</v>
      </c>
      <c r="VSX14" s="137" t="s">
        <v>15600</v>
      </c>
      <c r="VSY14" s="137" t="s">
        <v>15601</v>
      </c>
      <c r="VSZ14" s="137" t="s">
        <v>15602</v>
      </c>
      <c r="VTA14" s="137" t="s">
        <v>15603</v>
      </c>
      <c r="VTB14" s="137" t="s">
        <v>15604</v>
      </c>
      <c r="VTC14" s="137" t="s">
        <v>15605</v>
      </c>
      <c r="VTD14" s="137" t="s">
        <v>15606</v>
      </c>
      <c r="VTE14" s="137" t="s">
        <v>15607</v>
      </c>
      <c r="VTF14" s="137" t="s">
        <v>15608</v>
      </c>
      <c r="VTG14" s="137" t="s">
        <v>15609</v>
      </c>
      <c r="VTH14" s="137" t="s">
        <v>15610</v>
      </c>
      <c r="VTI14" s="137" t="s">
        <v>15611</v>
      </c>
      <c r="VTJ14" s="137" t="s">
        <v>15612</v>
      </c>
      <c r="VTK14" s="137" t="s">
        <v>15613</v>
      </c>
      <c r="VTL14" s="137" t="s">
        <v>15614</v>
      </c>
      <c r="VTM14" s="137" t="s">
        <v>15615</v>
      </c>
      <c r="VTN14" s="137" t="s">
        <v>15616</v>
      </c>
      <c r="VTO14" s="137" t="s">
        <v>15617</v>
      </c>
      <c r="VTP14" s="137" t="s">
        <v>15618</v>
      </c>
      <c r="VTQ14" s="137" t="s">
        <v>15619</v>
      </c>
      <c r="VTR14" s="137" t="s">
        <v>15620</v>
      </c>
      <c r="VTS14" s="137" t="s">
        <v>15621</v>
      </c>
      <c r="VTT14" s="137" t="s">
        <v>15622</v>
      </c>
      <c r="VTU14" s="137" t="s">
        <v>15623</v>
      </c>
      <c r="VTV14" s="137" t="s">
        <v>15624</v>
      </c>
      <c r="VTW14" s="137" t="s">
        <v>15625</v>
      </c>
      <c r="VTX14" s="137" t="s">
        <v>15626</v>
      </c>
      <c r="VTY14" s="137" t="s">
        <v>15627</v>
      </c>
      <c r="VTZ14" s="137" t="s">
        <v>15628</v>
      </c>
      <c r="VUA14" s="137" t="s">
        <v>15629</v>
      </c>
      <c r="VUB14" s="137" t="s">
        <v>15630</v>
      </c>
      <c r="VUC14" s="137" t="s">
        <v>15631</v>
      </c>
      <c r="VUD14" s="137" t="s">
        <v>15632</v>
      </c>
      <c r="VUE14" s="137" t="s">
        <v>15633</v>
      </c>
      <c r="VUF14" s="137" t="s">
        <v>15634</v>
      </c>
      <c r="VUG14" s="137" t="s">
        <v>15635</v>
      </c>
      <c r="VUH14" s="137" t="s">
        <v>15636</v>
      </c>
      <c r="VUI14" s="137" t="s">
        <v>15637</v>
      </c>
      <c r="VUJ14" s="137" t="s">
        <v>15638</v>
      </c>
      <c r="VUK14" s="137" t="s">
        <v>15639</v>
      </c>
      <c r="VUL14" s="137" t="s">
        <v>15640</v>
      </c>
      <c r="VUM14" s="137" t="s">
        <v>15641</v>
      </c>
      <c r="VUN14" s="137" t="s">
        <v>15642</v>
      </c>
      <c r="VUO14" s="137" t="s">
        <v>15643</v>
      </c>
      <c r="VUP14" s="137" t="s">
        <v>15644</v>
      </c>
      <c r="VUQ14" s="137" t="s">
        <v>15645</v>
      </c>
      <c r="VUR14" s="137" t="s">
        <v>15646</v>
      </c>
      <c r="VUS14" s="137" t="s">
        <v>15647</v>
      </c>
      <c r="VUT14" s="137" t="s">
        <v>15648</v>
      </c>
      <c r="VUU14" s="137" t="s">
        <v>15649</v>
      </c>
      <c r="VUV14" s="137" t="s">
        <v>15650</v>
      </c>
      <c r="VUW14" s="137" t="s">
        <v>15651</v>
      </c>
      <c r="VUX14" s="137" t="s">
        <v>15652</v>
      </c>
      <c r="VUY14" s="137" t="s">
        <v>15653</v>
      </c>
      <c r="VUZ14" s="137" t="s">
        <v>15654</v>
      </c>
      <c r="VVA14" s="137" t="s">
        <v>15655</v>
      </c>
      <c r="VVB14" s="137" t="s">
        <v>15656</v>
      </c>
      <c r="VVC14" s="137" t="s">
        <v>15657</v>
      </c>
      <c r="VVD14" s="137" t="s">
        <v>15658</v>
      </c>
      <c r="VVE14" s="137" t="s">
        <v>15659</v>
      </c>
      <c r="VVF14" s="137" t="s">
        <v>15660</v>
      </c>
      <c r="VVG14" s="137" t="s">
        <v>15661</v>
      </c>
      <c r="VVH14" s="137" t="s">
        <v>15662</v>
      </c>
      <c r="VVI14" s="137" t="s">
        <v>15663</v>
      </c>
      <c r="VVJ14" s="137" t="s">
        <v>15664</v>
      </c>
      <c r="VVK14" s="137" t="s">
        <v>15665</v>
      </c>
      <c r="VVL14" s="137" t="s">
        <v>15666</v>
      </c>
      <c r="VVM14" s="137" t="s">
        <v>15667</v>
      </c>
      <c r="VVN14" s="137" t="s">
        <v>15668</v>
      </c>
      <c r="VVO14" s="137" t="s">
        <v>15669</v>
      </c>
      <c r="VVP14" s="137" t="s">
        <v>15670</v>
      </c>
      <c r="VVQ14" s="137" t="s">
        <v>15671</v>
      </c>
      <c r="VVR14" s="137" t="s">
        <v>15672</v>
      </c>
      <c r="VVS14" s="137" t="s">
        <v>15673</v>
      </c>
      <c r="VVT14" s="137" t="s">
        <v>15674</v>
      </c>
      <c r="VVU14" s="137" t="s">
        <v>15675</v>
      </c>
      <c r="VVV14" s="137" t="s">
        <v>15676</v>
      </c>
      <c r="VVW14" s="137" t="s">
        <v>15677</v>
      </c>
      <c r="VVX14" s="137" t="s">
        <v>15678</v>
      </c>
      <c r="VVY14" s="137" t="s">
        <v>15679</v>
      </c>
      <c r="VVZ14" s="137" t="s">
        <v>15680</v>
      </c>
      <c r="VWA14" s="137" t="s">
        <v>15681</v>
      </c>
      <c r="VWB14" s="137" t="s">
        <v>15682</v>
      </c>
      <c r="VWC14" s="137" t="s">
        <v>15683</v>
      </c>
      <c r="VWD14" s="137" t="s">
        <v>15684</v>
      </c>
      <c r="VWE14" s="137" t="s">
        <v>15685</v>
      </c>
      <c r="VWF14" s="137" t="s">
        <v>15686</v>
      </c>
      <c r="VWG14" s="137" t="s">
        <v>15687</v>
      </c>
      <c r="VWH14" s="137" t="s">
        <v>15688</v>
      </c>
      <c r="VWI14" s="137" t="s">
        <v>15689</v>
      </c>
      <c r="VWJ14" s="137" t="s">
        <v>15690</v>
      </c>
      <c r="VWK14" s="137" t="s">
        <v>15691</v>
      </c>
      <c r="VWL14" s="137" t="s">
        <v>15692</v>
      </c>
      <c r="VWM14" s="137" t="s">
        <v>15693</v>
      </c>
      <c r="VWN14" s="137" t="s">
        <v>15694</v>
      </c>
      <c r="VWO14" s="137" t="s">
        <v>15695</v>
      </c>
      <c r="VWP14" s="137" t="s">
        <v>15696</v>
      </c>
      <c r="VWQ14" s="137" t="s">
        <v>15697</v>
      </c>
      <c r="VWR14" s="137" t="s">
        <v>15698</v>
      </c>
      <c r="VWS14" s="137" t="s">
        <v>15699</v>
      </c>
      <c r="VWT14" s="137" t="s">
        <v>15700</v>
      </c>
      <c r="VWU14" s="137" t="s">
        <v>15701</v>
      </c>
      <c r="VWV14" s="137" t="s">
        <v>15702</v>
      </c>
      <c r="VWW14" s="137" t="s">
        <v>15703</v>
      </c>
      <c r="VWX14" s="137" t="s">
        <v>15704</v>
      </c>
      <c r="VWY14" s="137" t="s">
        <v>15705</v>
      </c>
      <c r="VWZ14" s="137" t="s">
        <v>15706</v>
      </c>
      <c r="VXA14" s="137" t="s">
        <v>15707</v>
      </c>
      <c r="VXB14" s="137" t="s">
        <v>15708</v>
      </c>
      <c r="VXC14" s="137" t="s">
        <v>15709</v>
      </c>
      <c r="VXD14" s="137" t="s">
        <v>15710</v>
      </c>
      <c r="VXE14" s="137" t="s">
        <v>15711</v>
      </c>
      <c r="VXF14" s="137" t="s">
        <v>15712</v>
      </c>
      <c r="VXG14" s="137" t="s">
        <v>15713</v>
      </c>
      <c r="VXH14" s="137" t="s">
        <v>15714</v>
      </c>
      <c r="VXI14" s="137" t="s">
        <v>15715</v>
      </c>
      <c r="VXJ14" s="137" t="s">
        <v>15716</v>
      </c>
      <c r="VXK14" s="137" t="s">
        <v>15717</v>
      </c>
      <c r="VXL14" s="137" t="s">
        <v>15718</v>
      </c>
      <c r="VXM14" s="137" t="s">
        <v>15719</v>
      </c>
      <c r="VXN14" s="137" t="s">
        <v>15720</v>
      </c>
      <c r="VXO14" s="137" t="s">
        <v>15721</v>
      </c>
      <c r="VXP14" s="137" t="s">
        <v>15722</v>
      </c>
      <c r="VXQ14" s="137" t="s">
        <v>15723</v>
      </c>
      <c r="VXR14" s="137" t="s">
        <v>15724</v>
      </c>
      <c r="VXS14" s="137" t="s">
        <v>15725</v>
      </c>
      <c r="VXT14" s="137" t="s">
        <v>15726</v>
      </c>
      <c r="VXU14" s="137" t="s">
        <v>15727</v>
      </c>
      <c r="VXV14" s="137" t="s">
        <v>15728</v>
      </c>
      <c r="VXW14" s="137" t="s">
        <v>15729</v>
      </c>
      <c r="VXX14" s="137" t="s">
        <v>15730</v>
      </c>
      <c r="VXY14" s="137" t="s">
        <v>15731</v>
      </c>
      <c r="VXZ14" s="137" t="s">
        <v>15732</v>
      </c>
      <c r="VYA14" s="137" t="s">
        <v>15733</v>
      </c>
      <c r="VYB14" s="137" t="s">
        <v>15734</v>
      </c>
      <c r="VYC14" s="137" t="s">
        <v>15735</v>
      </c>
      <c r="VYD14" s="137" t="s">
        <v>15736</v>
      </c>
      <c r="VYE14" s="137" t="s">
        <v>15737</v>
      </c>
      <c r="VYF14" s="137" t="s">
        <v>15738</v>
      </c>
      <c r="VYG14" s="137" t="s">
        <v>15739</v>
      </c>
      <c r="VYH14" s="137" t="s">
        <v>15740</v>
      </c>
      <c r="VYI14" s="137" t="s">
        <v>15741</v>
      </c>
      <c r="VYJ14" s="137" t="s">
        <v>15742</v>
      </c>
      <c r="VYK14" s="137" t="s">
        <v>15743</v>
      </c>
      <c r="VYL14" s="137" t="s">
        <v>15744</v>
      </c>
      <c r="VYM14" s="137" t="s">
        <v>15745</v>
      </c>
      <c r="VYN14" s="137" t="s">
        <v>15746</v>
      </c>
      <c r="VYO14" s="137" t="s">
        <v>15747</v>
      </c>
      <c r="VYP14" s="137" t="s">
        <v>15748</v>
      </c>
      <c r="VYQ14" s="137" t="s">
        <v>15749</v>
      </c>
      <c r="VYR14" s="137" t="s">
        <v>15750</v>
      </c>
      <c r="VYS14" s="137" t="s">
        <v>15751</v>
      </c>
      <c r="VYT14" s="137" t="s">
        <v>15752</v>
      </c>
      <c r="VYU14" s="137" t="s">
        <v>15753</v>
      </c>
      <c r="VYV14" s="137" t="s">
        <v>15754</v>
      </c>
      <c r="VYW14" s="137" t="s">
        <v>15755</v>
      </c>
      <c r="VYX14" s="137" t="s">
        <v>15756</v>
      </c>
      <c r="VYY14" s="137" t="s">
        <v>15757</v>
      </c>
      <c r="VYZ14" s="137" t="s">
        <v>15758</v>
      </c>
      <c r="VZA14" s="137" t="s">
        <v>15759</v>
      </c>
      <c r="VZB14" s="137" t="s">
        <v>15760</v>
      </c>
      <c r="VZC14" s="137" t="s">
        <v>15761</v>
      </c>
      <c r="VZD14" s="137" t="s">
        <v>15762</v>
      </c>
      <c r="VZE14" s="137" t="s">
        <v>15763</v>
      </c>
      <c r="VZF14" s="137" t="s">
        <v>15764</v>
      </c>
      <c r="VZG14" s="137" t="s">
        <v>15765</v>
      </c>
      <c r="VZH14" s="137" t="s">
        <v>15766</v>
      </c>
      <c r="VZI14" s="137" t="s">
        <v>15767</v>
      </c>
      <c r="VZJ14" s="137" t="s">
        <v>15768</v>
      </c>
      <c r="VZK14" s="137" t="s">
        <v>15769</v>
      </c>
      <c r="VZL14" s="137" t="s">
        <v>15770</v>
      </c>
      <c r="VZM14" s="137" t="s">
        <v>15771</v>
      </c>
      <c r="VZN14" s="137" t="s">
        <v>15772</v>
      </c>
      <c r="VZO14" s="137" t="s">
        <v>15773</v>
      </c>
      <c r="VZP14" s="137" t="s">
        <v>15774</v>
      </c>
      <c r="VZQ14" s="137" t="s">
        <v>15775</v>
      </c>
      <c r="VZR14" s="137" t="s">
        <v>15776</v>
      </c>
      <c r="VZS14" s="137" t="s">
        <v>15777</v>
      </c>
      <c r="VZT14" s="137" t="s">
        <v>15778</v>
      </c>
      <c r="VZU14" s="137" t="s">
        <v>15779</v>
      </c>
      <c r="VZV14" s="137" t="s">
        <v>15780</v>
      </c>
      <c r="VZW14" s="137" t="s">
        <v>15781</v>
      </c>
      <c r="VZX14" s="137" t="s">
        <v>15782</v>
      </c>
      <c r="VZY14" s="137" t="s">
        <v>15783</v>
      </c>
      <c r="VZZ14" s="137" t="s">
        <v>15784</v>
      </c>
      <c r="WAA14" s="137" t="s">
        <v>15785</v>
      </c>
      <c r="WAB14" s="137" t="s">
        <v>15786</v>
      </c>
      <c r="WAC14" s="137" t="s">
        <v>15787</v>
      </c>
      <c r="WAD14" s="137" t="s">
        <v>15788</v>
      </c>
      <c r="WAE14" s="137" t="s">
        <v>15789</v>
      </c>
      <c r="WAF14" s="137" t="s">
        <v>15790</v>
      </c>
      <c r="WAG14" s="137" t="s">
        <v>15791</v>
      </c>
      <c r="WAH14" s="137" t="s">
        <v>15792</v>
      </c>
      <c r="WAI14" s="137" t="s">
        <v>15793</v>
      </c>
      <c r="WAJ14" s="137" t="s">
        <v>15794</v>
      </c>
      <c r="WAK14" s="137" t="s">
        <v>15795</v>
      </c>
      <c r="WAL14" s="137" t="s">
        <v>15796</v>
      </c>
      <c r="WAM14" s="137" t="s">
        <v>15797</v>
      </c>
      <c r="WAN14" s="137" t="s">
        <v>15798</v>
      </c>
      <c r="WAO14" s="137" t="s">
        <v>15799</v>
      </c>
      <c r="WAP14" s="137" t="s">
        <v>15800</v>
      </c>
      <c r="WAQ14" s="137" t="s">
        <v>15801</v>
      </c>
      <c r="WAR14" s="137" t="s">
        <v>15802</v>
      </c>
      <c r="WAS14" s="137" t="s">
        <v>15803</v>
      </c>
      <c r="WAT14" s="137" t="s">
        <v>15804</v>
      </c>
      <c r="WAU14" s="137" t="s">
        <v>15805</v>
      </c>
      <c r="WAV14" s="137" t="s">
        <v>15806</v>
      </c>
      <c r="WAW14" s="137" t="s">
        <v>15807</v>
      </c>
      <c r="WAX14" s="137" t="s">
        <v>15808</v>
      </c>
      <c r="WAY14" s="137" t="s">
        <v>15809</v>
      </c>
      <c r="WAZ14" s="137" t="s">
        <v>15810</v>
      </c>
      <c r="WBA14" s="137" t="s">
        <v>15811</v>
      </c>
      <c r="WBB14" s="137" t="s">
        <v>15812</v>
      </c>
      <c r="WBC14" s="137" t="s">
        <v>15813</v>
      </c>
      <c r="WBD14" s="137" t="s">
        <v>15814</v>
      </c>
      <c r="WBE14" s="137" t="s">
        <v>15815</v>
      </c>
      <c r="WBF14" s="137" t="s">
        <v>15816</v>
      </c>
      <c r="WBG14" s="137" t="s">
        <v>15817</v>
      </c>
      <c r="WBH14" s="137" t="s">
        <v>15818</v>
      </c>
      <c r="WBI14" s="137" t="s">
        <v>15819</v>
      </c>
      <c r="WBJ14" s="137" t="s">
        <v>15820</v>
      </c>
      <c r="WBK14" s="137" t="s">
        <v>15821</v>
      </c>
      <c r="WBL14" s="137" t="s">
        <v>15822</v>
      </c>
      <c r="WBM14" s="137" t="s">
        <v>15823</v>
      </c>
      <c r="WBN14" s="137" t="s">
        <v>15824</v>
      </c>
      <c r="WBO14" s="137" t="s">
        <v>15825</v>
      </c>
      <c r="WBP14" s="137" t="s">
        <v>15826</v>
      </c>
      <c r="WBQ14" s="137" t="s">
        <v>15827</v>
      </c>
      <c r="WBR14" s="137" t="s">
        <v>15828</v>
      </c>
      <c r="WBS14" s="137" t="s">
        <v>15829</v>
      </c>
      <c r="WBT14" s="137" t="s">
        <v>15830</v>
      </c>
      <c r="WBU14" s="137" t="s">
        <v>15831</v>
      </c>
      <c r="WBV14" s="137" t="s">
        <v>15832</v>
      </c>
      <c r="WBW14" s="137" t="s">
        <v>15833</v>
      </c>
      <c r="WBX14" s="137" t="s">
        <v>15834</v>
      </c>
      <c r="WBY14" s="137" t="s">
        <v>15835</v>
      </c>
      <c r="WBZ14" s="137" t="s">
        <v>15836</v>
      </c>
      <c r="WCA14" s="137" t="s">
        <v>15837</v>
      </c>
      <c r="WCB14" s="137" t="s">
        <v>15838</v>
      </c>
      <c r="WCC14" s="137" t="s">
        <v>15839</v>
      </c>
      <c r="WCD14" s="137" t="s">
        <v>15840</v>
      </c>
      <c r="WCE14" s="137" t="s">
        <v>15841</v>
      </c>
      <c r="WCF14" s="137" t="s">
        <v>15842</v>
      </c>
      <c r="WCG14" s="137" t="s">
        <v>15843</v>
      </c>
      <c r="WCH14" s="137" t="s">
        <v>15844</v>
      </c>
      <c r="WCI14" s="137" t="s">
        <v>15845</v>
      </c>
      <c r="WCJ14" s="137" t="s">
        <v>15846</v>
      </c>
      <c r="WCK14" s="137" t="s">
        <v>15847</v>
      </c>
      <c r="WCL14" s="137" t="s">
        <v>15848</v>
      </c>
      <c r="WCM14" s="137" t="s">
        <v>15849</v>
      </c>
      <c r="WCN14" s="137" t="s">
        <v>15850</v>
      </c>
      <c r="WCO14" s="137" t="s">
        <v>15851</v>
      </c>
      <c r="WCP14" s="137" t="s">
        <v>15852</v>
      </c>
      <c r="WCQ14" s="137" t="s">
        <v>15853</v>
      </c>
      <c r="WCR14" s="137" t="s">
        <v>15854</v>
      </c>
      <c r="WCS14" s="137" t="s">
        <v>15855</v>
      </c>
      <c r="WCT14" s="137" t="s">
        <v>15856</v>
      </c>
      <c r="WCU14" s="137" t="s">
        <v>15857</v>
      </c>
      <c r="WCV14" s="137" t="s">
        <v>15858</v>
      </c>
      <c r="WCW14" s="137" t="s">
        <v>15859</v>
      </c>
      <c r="WCX14" s="137" t="s">
        <v>15860</v>
      </c>
      <c r="WCY14" s="137" t="s">
        <v>15861</v>
      </c>
      <c r="WCZ14" s="137" t="s">
        <v>15862</v>
      </c>
      <c r="WDA14" s="137" t="s">
        <v>15863</v>
      </c>
      <c r="WDB14" s="137" t="s">
        <v>15864</v>
      </c>
      <c r="WDC14" s="137" t="s">
        <v>15865</v>
      </c>
      <c r="WDD14" s="137" t="s">
        <v>15866</v>
      </c>
      <c r="WDE14" s="137" t="s">
        <v>15867</v>
      </c>
      <c r="WDF14" s="137" t="s">
        <v>15868</v>
      </c>
      <c r="WDG14" s="137" t="s">
        <v>15869</v>
      </c>
      <c r="WDH14" s="137" t="s">
        <v>15870</v>
      </c>
      <c r="WDI14" s="137" t="s">
        <v>15871</v>
      </c>
      <c r="WDJ14" s="137" t="s">
        <v>15872</v>
      </c>
      <c r="WDK14" s="137" t="s">
        <v>15873</v>
      </c>
      <c r="WDL14" s="137" t="s">
        <v>15874</v>
      </c>
      <c r="WDM14" s="137" t="s">
        <v>15875</v>
      </c>
      <c r="WDN14" s="137" t="s">
        <v>15876</v>
      </c>
      <c r="WDO14" s="137" t="s">
        <v>15877</v>
      </c>
      <c r="WDP14" s="137" t="s">
        <v>15878</v>
      </c>
      <c r="WDQ14" s="137" t="s">
        <v>15879</v>
      </c>
      <c r="WDR14" s="137" t="s">
        <v>15880</v>
      </c>
      <c r="WDS14" s="137" t="s">
        <v>15881</v>
      </c>
      <c r="WDT14" s="137" t="s">
        <v>15882</v>
      </c>
      <c r="WDU14" s="137" t="s">
        <v>15883</v>
      </c>
      <c r="WDV14" s="137" t="s">
        <v>15884</v>
      </c>
      <c r="WDW14" s="137" t="s">
        <v>15885</v>
      </c>
      <c r="WDX14" s="137" t="s">
        <v>15886</v>
      </c>
      <c r="WDY14" s="137" t="s">
        <v>15887</v>
      </c>
      <c r="WDZ14" s="137" t="s">
        <v>15888</v>
      </c>
      <c r="WEA14" s="137" t="s">
        <v>15889</v>
      </c>
      <c r="WEB14" s="137" t="s">
        <v>15890</v>
      </c>
      <c r="WEC14" s="137" t="s">
        <v>15891</v>
      </c>
      <c r="WED14" s="137" t="s">
        <v>15892</v>
      </c>
      <c r="WEE14" s="137" t="s">
        <v>15893</v>
      </c>
      <c r="WEF14" s="137" t="s">
        <v>15894</v>
      </c>
      <c r="WEG14" s="137" t="s">
        <v>15895</v>
      </c>
      <c r="WEH14" s="137" t="s">
        <v>15896</v>
      </c>
      <c r="WEI14" s="137" t="s">
        <v>15897</v>
      </c>
      <c r="WEJ14" s="137" t="s">
        <v>15898</v>
      </c>
      <c r="WEK14" s="137" t="s">
        <v>15899</v>
      </c>
      <c r="WEL14" s="137" t="s">
        <v>15900</v>
      </c>
      <c r="WEM14" s="137" t="s">
        <v>15901</v>
      </c>
      <c r="WEN14" s="137" t="s">
        <v>15902</v>
      </c>
      <c r="WEO14" s="137" t="s">
        <v>15903</v>
      </c>
      <c r="WEP14" s="137" t="s">
        <v>15904</v>
      </c>
      <c r="WEQ14" s="137" t="s">
        <v>15905</v>
      </c>
      <c r="WER14" s="137" t="s">
        <v>15906</v>
      </c>
      <c r="WES14" s="137" t="s">
        <v>15907</v>
      </c>
      <c r="WET14" s="137" t="s">
        <v>15908</v>
      </c>
      <c r="WEU14" s="137" t="s">
        <v>15909</v>
      </c>
      <c r="WEV14" s="137" t="s">
        <v>15910</v>
      </c>
      <c r="WEW14" s="137" t="s">
        <v>15911</v>
      </c>
      <c r="WEX14" s="137" t="s">
        <v>15912</v>
      </c>
      <c r="WEY14" s="137" t="s">
        <v>15913</v>
      </c>
      <c r="WEZ14" s="137" t="s">
        <v>15914</v>
      </c>
      <c r="WFA14" s="137" t="s">
        <v>15915</v>
      </c>
      <c r="WFB14" s="137" t="s">
        <v>15916</v>
      </c>
      <c r="WFC14" s="137" t="s">
        <v>15917</v>
      </c>
      <c r="WFD14" s="137" t="s">
        <v>15918</v>
      </c>
      <c r="WFE14" s="137" t="s">
        <v>15919</v>
      </c>
      <c r="WFF14" s="137" t="s">
        <v>15920</v>
      </c>
      <c r="WFG14" s="137" t="s">
        <v>15921</v>
      </c>
      <c r="WFH14" s="137" t="s">
        <v>15922</v>
      </c>
      <c r="WFI14" s="137" t="s">
        <v>15923</v>
      </c>
      <c r="WFJ14" s="137" t="s">
        <v>15924</v>
      </c>
      <c r="WFK14" s="137" t="s">
        <v>15925</v>
      </c>
      <c r="WFL14" s="137" t="s">
        <v>15926</v>
      </c>
      <c r="WFM14" s="137" t="s">
        <v>15927</v>
      </c>
      <c r="WFN14" s="137" t="s">
        <v>15928</v>
      </c>
      <c r="WFO14" s="137" t="s">
        <v>15929</v>
      </c>
      <c r="WFP14" s="137" t="s">
        <v>15930</v>
      </c>
      <c r="WFQ14" s="137" t="s">
        <v>15931</v>
      </c>
      <c r="WFR14" s="137" t="s">
        <v>15932</v>
      </c>
      <c r="WFS14" s="137" t="s">
        <v>15933</v>
      </c>
      <c r="WFT14" s="137" t="s">
        <v>15934</v>
      </c>
      <c r="WFU14" s="137" t="s">
        <v>15935</v>
      </c>
      <c r="WFV14" s="137" t="s">
        <v>15936</v>
      </c>
      <c r="WFW14" s="137" t="s">
        <v>15937</v>
      </c>
      <c r="WFX14" s="137" t="s">
        <v>15938</v>
      </c>
      <c r="WFY14" s="137" t="s">
        <v>15939</v>
      </c>
      <c r="WFZ14" s="137" t="s">
        <v>15940</v>
      </c>
      <c r="WGA14" s="137" t="s">
        <v>15941</v>
      </c>
      <c r="WGB14" s="137" t="s">
        <v>15942</v>
      </c>
      <c r="WGC14" s="137" t="s">
        <v>15943</v>
      </c>
      <c r="WGD14" s="137" t="s">
        <v>15944</v>
      </c>
      <c r="WGE14" s="137" t="s">
        <v>15945</v>
      </c>
      <c r="WGF14" s="137" t="s">
        <v>15946</v>
      </c>
      <c r="WGG14" s="137" t="s">
        <v>15947</v>
      </c>
      <c r="WGH14" s="137" t="s">
        <v>15948</v>
      </c>
      <c r="WGI14" s="137" t="s">
        <v>15949</v>
      </c>
      <c r="WGJ14" s="137" t="s">
        <v>15950</v>
      </c>
      <c r="WGK14" s="137" t="s">
        <v>15951</v>
      </c>
      <c r="WGL14" s="137" t="s">
        <v>15952</v>
      </c>
      <c r="WGM14" s="137" t="s">
        <v>15953</v>
      </c>
      <c r="WGN14" s="137" t="s">
        <v>15954</v>
      </c>
      <c r="WGO14" s="137" t="s">
        <v>15955</v>
      </c>
      <c r="WGP14" s="137" t="s">
        <v>15956</v>
      </c>
      <c r="WGQ14" s="137" t="s">
        <v>15957</v>
      </c>
      <c r="WGR14" s="137" t="s">
        <v>15958</v>
      </c>
      <c r="WGS14" s="137" t="s">
        <v>15959</v>
      </c>
      <c r="WGT14" s="137" t="s">
        <v>15960</v>
      </c>
      <c r="WGU14" s="137" t="s">
        <v>15961</v>
      </c>
      <c r="WGV14" s="137" t="s">
        <v>15962</v>
      </c>
      <c r="WGW14" s="137" t="s">
        <v>15963</v>
      </c>
      <c r="WGX14" s="137" t="s">
        <v>15964</v>
      </c>
      <c r="WGY14" s="137" t="s">
        <v>15965</v>
      </c>
      <c r="WGZ14" s="137" t="s">
        <v>15966</v>
      </c>
      <c r="WHA14" s="137" t="s">
        <v>15967</v>
      </c>
      <c r="WHB14" s="137" t="s">
        <v>15968</v>
      </c>
      <c r="WHC14" s="137" t="s">
        <v>15969</v>
      </c>
      <c r="WHD14" s="137" t="s">
        <v>15970</v>
      </c>
      <c r="WHE14" s="137" t="s">
        <v>15971</v>
      </c>
      <c r="WHF14" s="137" t="s">
        <v>15972</v>
      </c>
      <c r="WHG14" s="137" t="s">
        <v>15973</v>
      </c>
      <c r="WHH14" s="137" t="s">
        <v>15974</v>
      </c>
      <c r="WHI14" s="137" t="s">
        <v>15975</v>
      </c>
      <c r="WHJ14" s="137" t="s">
        <v>15976</v>
      </c>
      <c r="WHK14" s="137" t="s">
        <v>15977</v>
      </c>
      <c r="WHL14" s="137" t="s">
        <v>15978</v>
      </c>
      <c r="WHM14" s="137" t="s">
        <v>15979</v>
      </c>
      <c r="WHN14" s="137" t="s">
        <v>15980</v>
      </c>
      <c r="WHO14" s="137" t="s">
        <v>15981</v>
      </c>
      <c r="WHP14" s="137" t="s">
        <v>15982</v>
      </c>
      <c r="WHQ14" s="137" t="s">
        <v>15983</v>
      </c>
      <c r="WHR14" s="137" t="s">
        <v>15984</v>
      </c>
      <c r="WHS14" s="137" t="s">
        <v>15985</v>
      </c>
      <c r="WHT14" s="137" t="s">
        <v>15986</v>
      </c>
      <c r="WHU14" s="137" t="s">
        <v>15987</v>
      </c>
      <c r="WHV14" s="137" t="s">
        <v>15988</v>
      </c>
      <c r="WHW14" s="137" t="s">
        <v>15989</v>
      </c>
      <c r="WHX14" s="137" t="s">
        <v>15990</v>
      </c>
      <c r="WHY14" s="137" t="s">
        <v>15991</v>
      </c>
      <c r="WHZ14" s="137" t="s">
        <v>15992</v>
      </c>
      <c r="WIA14" s="137" t="s">
        <v>15993</v>
      </c>
      <c r="WIB14" s="137" t="s">
        <v>15994</v>
      </c>
      <c r="WIC14" s="137" t="s">
        <v>15995</v>
      </c>
      <c r="WID14" s="137" t="s">
        <v>15996</v>
      </c>
      <c r="WIE14" s="137" t="s">
        <v>15997</v>
      </c>
      <c r="WIF14" s="137" t="s">
        <v>15998</v>
      </c>
      <c r="WIG14" s="137" t="s">
        <v>15999</v>
      </c>
      <c r="WIH14" s="137" t="s">
        <v>16000</v>
      </c>
      <c r="WII14" s="137" t="s">
        <v>16001</v>
      </c>
      <c r="WIJ14" s="137" t="s">
        <v>16002</v>
      </c>
      <c r="WIK14" s="137" t="s">
        <v>16003</v>
      </c>
      <c r="WIL14" s="137" t="s">
        <v>16004</v>
      </c>
      <c r="WIM14" s="137" t="s">
        <v>16005</v>
      </c>
      <c r="WIN14" s="137" t="s">
        <v>16006</v>
      </c>
      <c r="WIO14" s="137" t="s">
        <v>16007</v>
      </c>
      <c r="WIP14" s="137" t="s">
        <v>16008</v>
      </c>
      <c r="WIQ14" s="137" t="s">
        <v>16009</v>
      </c>
      <c r="WIR14" s="137" t="s">
        <v>16010</v>
      </c>
      <c r="WIS14" s="137" t="s">
        <v>16011</v>
      </c>
      <c r="WIT14" s="137" t="s">
        <v>16012</v>
      </c>
      <c r="WIU14" s="137" t="s">
        <v>16013</v>
      </c>
      <c r="WIV14" s="137" t="s">
        <v>16014</v>
      </c>
      <c r="WIW14" s="137" t="s">
        <v>16015</v>
      </c>
      <c r="WIX14" s="137" t="s">
        <v>16016</v>
      </c>
      <c r="WIY14" s="137" t="s">
        <v>16017</v>
      </c>
      <c r="WIZ14" s="137" t="s">
        <v>16018</v>
      </c>
      <c r="WJA14" s="137" t="s">
        <v>16019</v>
      </c>
      <c r="WJB14" s="137" t="s">
        <v>16020</v>
      </c>
      <c r="WJC14" s="137" t="s">
        <v>16021</v>
      </c>
      <c r="WJD14" s="137" t="s">
        <v>16022</v>
      </c>
      <c r="WJE14" s="137" t="s">
        <v>16023</v>
      </c>
      <c r="WJF14" s="137" t="s">
        <v>16024</v>
      </c>
      <c r="WJG14" s="137" t="s">
        <v>16025</v>
      </c>
      <c r="WJH14" s="137" t="s">
        <v>16026</v>
      </c>
      <c r="WJI14" s="137" t="s">
        <v>16027</v>
      </c>
      <c r="WJJ14" s="137" t="s">
        <v>16028</v>
      </c>
      <c r="WJK14" s="137" t="s">
        <v>16029</v>
      </c>
      <c r="WJL14" s="137" t="s">
        <v>16030</v>
      </c>
      <c r="WJM14" s="137" t="s">
        <v>16031</v>
      </c>
      <c r="WJN14" s="137" t="s">
        <v>16032</v>
      </c>
      <c r="WJO14" s="137" t="s">
        <v>16033</v>
      </c>
      <c r="WJP14" s="137" t="s">
        <v>16034</v>
      </c>
      <c r="WJQ14" s="137" t="s">
        <v>16035</v>
      </c>
      <c r="WJR14" s="137" t="s">
        <v>16036</v>
      </c>
      <c r="WJS14" s="137" t="s">
        <v>16037</v>
      </c>
      <c r="WJT14" s="137" t="s">
        <v>16038</v>
      </c>
      <c r="WJU14" s="137" t="s">
        <v>16039</v>
      </c>
      <c r="WJV14" s="137" t="s">
        <v>16040</v>
      </c>
      <c r="WJW14" s="137" t="s">
        <v>16041</v>
      </c>
      <c r="WJX14" s="137" t="s">
        <v>16042</v>
      </c>
      <c r="WJY14" s="137" t="s">
        <v>16043</v>
      </c>
      <c r="WJZ14" s="137" t="s">
        <v>16044</v>
      </c>
      <c r="WKA14" s="137" t="s">
        <v>16045</v>
      </c>
      <c r="WKB14" s="137" t="s">
        <v>16046</v>
      </c>
      <c r="WKC14" s="137" t="s">
        <v>16047</v>
      </c>
      <c r="WKD14" s="137" t="s">
        <v>16048</v>
      </c>
      <c r="WKE14" s="137" t="s">
        <v>16049</v>
      </c>
      <c r="WKF14" s="137" t="s">
        <v>16050</v>
      </c>
      <c r="WKG14" s="137" t="s">
        <v>16051</v>
      </c>
      <c r="WKH14" s="137" t="s">
        <v>16052</v>
      </c>
      <c r="WKI14" s="137" t="s">
        <v>16053</v>
      </c>
      <c r="WKJ14" s="137" t="s">
        <v>16054</v>
      </c>
      <c r="WKK14" s="137" t="s">
        <v>16055</v>
      </c>
      <c r="WKL14" s="137" t="s">
        <v>16056</v>
      </c>
      <c r="WKM14" s="137" t="s">
        <v>16057</v>
      </c>
      <c r="WKN14" s="137" t="s">
        <v>16058</v>
      </c>
      <c r="WKO14" s="137" t="s">
        <v>16059</v>
      </c>
      <c r="WKP14" s="137" t="s">
        <v>16060</v>
      </c>
      <c r="WKQ14" s="137" t="s">
        <v>16061</v>
      </c>
      <c r="WKR14" s="137" t="s">
        <v>16062</v>
      </c>
      <c r="WKS14" s="137" t="s">
        <v>16063</v>
      </c>
      <c r="WKT14" s="137" t="s">
        <v>16064</v>
      </c>
      <c r="WKU14" s="137" t="s">
        <v>16065</v>
      </c>
      <c r="WKV14" s="137" t="s">
        <v>16066</v>
      </c>
      <c r="WKW14" s="137" t="s">
        <v>16067</v>
      </c>
      <c r="WKX14" s="137" t="s">
        <v>16068</v>
      </c>
      <c r="WKY14" s="137" t="s">
        <v>16069</v>
      </c>
      <c r="WKZ14" s="137" t="s">
        <v>16070</v>
      </c>
      <c r="WLA14" s="137" t="s">
        <v>16071</v>
      </c>
      <c r="WLB14" s="137" t="s">
        <v>16072</v>
      </c>
      <c r="WLC14" s="137" t="s">
        <v>16073</v>
      </c>
      <c r="WLD14" s="137" t="s">
        <v>16074</v>
      </c>
      <c r="WLE14" s="137" t="s">
        <v>16075</v>
      </c>
      <c r="WLF14" s="137" t="s">
        <v>16076</v>
      </c>
      <c r="WLG14" s="137" t="s">
        <v>16077</v>
      </c>
      <c r="WLH14" s="137" t="s">
        <v>16078</v>
      </c>
      <c r="WLI14" s="137" t="s">
        <v>16079</v>
      </c>
      <c r="WLJ14" s="137" t="s">
        <v>16080</v>
      </c>
      <c r="WLK14" s="137" t="s">
        <v>16081</v>
      </c>
      <c r="WLL14" s="137" t="s">
        <v>16082</v>
      </c>
      <c r="WLM14" s="137" t="s">
        <v>16083</v>
      </c>
      <c r="WLN14" s="137" t="s">
        <v>16084</v>
      </c>
      <c r="WLO14" s="137" t="s">
        <v>16085</v>
      </c>
      <c r="WLP14" s="137" t="s">
        <v>16086</v>
      </c>
      <c r="WLQ14" s="137" t="s">
        <v>16087</v>
      </c>
      <c r="WLR14" s="137" t="s">
        <v>16088</v>
      </c>
      <c r="WLS14" s="137" t="s">
        <v>16089</v>
      </c>
      <c r="WLT14" s="137" t="s">
        <v>16090</v>
      </c>
      <c r="WLU14" s="137" t="s">
        <v>16091</v>
      </c>
      <c r="WLV14" s="137" t="s">
        <v>16092</v>
      </c>
      <c r="WLW14" s="137" t="s">
        <v>16093</v>
      </c>
      <c r="WLX14" s="137" t="s">
        <v>16094</v>
      </c>
      <c r="WLY14" s="137" t="s">
        <v>16095</v>
      </c>
      <c r="WLZ14" s="137" t="s">
        <v>16096</v>
      </c>
      <c r="WMA14" s="137" t="s">
        <v>16097</v>
      </c>
      <c r="WMB14" s="137" t="s">
        <v>16098</v>
      </c>
      <c r="WMC14" s="137" t="s">
        <v>16099</v>
      </c>
      <c r="WMD14" s="137" t="s">
        <v>16100</v>
      </c>
      <c r="WME14" s="137" t="s">
        <v>16101</v>
      </c>
      <c r="WMF14" s="137" t="s">
        <v>16102</v>
      </c>
      <c r="WMG14" s="137" t="s">
        <v>16103</v>
      </c>
      <c r="WMH14" s="137" t="s">
        <v>16104</v>
      </c>
      <c r="WMI14" s="137" t="s">
        <v>16105</v>
      </c>
      <c r="WMJ14" s="137" t="s">
        <v>16106</v>
      </c>
      <c r="WMK14" s="137" t="s">
        <v>16107</v>
      </c>
      <c r="WML14" s="137" t="s">
        <v>16108</v>
      </c>
      <c r="WMM14" s="137" t="s">
        <v>16109</v>
      </c>
      <c r="WMN14" s="137" t="s">
        <v>16110</v>
      </c>
      <c r="WMO14" s="137" t="s">
        <v>16111</v>
      </c>
      <c r="WMP14" s="137" t="s">
        <v>16112</v>
      </c>
      <c r="WMQ14" s="137" t="s">
        <v>16113</v>
      </c>
      <c r="WMR14" s="137" t="s">
        <v>16114</v>
      </c>
      <c r="WMS14" s="137" t="s">
        <v>16115</v>
      </c>
      <c r="WMT14" s="137" t="s">
        <v>16116</v>
      </c>
      <c r="WMU14" s="137" t="s">
        <v>16117</v>
      </c>
      <c r="WMV14" s="137" t="s">
        <v>16118</v>
      </c>
      <c r="WMW14" s="137" t="s">
        <v>16119</v>
      </c>
      <c r="WMX14" s="137" t="s">
        <v>16120</v>
      </c>
      <c r="WMY14" s="137" t="s">
        <v>16121</v>
      </c>
      <c r="WMZ14" s="137" t="s">
        <v>16122</v>
      </c>
      <c r="WNA14" s="137" t="s">
        <v>16123</v>
      </c>
      <c r="WNB14" s="137" t="s">
        <v>16124</v>
      </c>
      <c r="WNC14" s="137" t="s">
        <v>16125</v>
      </c>
      <c r="WND14" s="137" t="s">
        <v>16126</v>
      </c>
      <c r="WNE14" s="137" t="s">
        <v>16127</v>
      </c>
      <c r="WNF14" s="137" t="s">
        <v>16128</v>
      </c>
      <c r="WNG14" s="137" t="s">
        <v>16129</v>
      </c>
      <c r="WNH14" s="137" t="s">
        <v>16130</v>
      </c>
      <c r="WNI14" s="137" t="s">
        <v>16131</v>
      </c>
      <c r="WNJ14" s="137" t="s">
        <v>16132</v>
      </c>
      <c r="WNK14" s="137" t="s">
        <v>16133</v>
      </c>
      <c r="WNL14" s="137" t="s">
        <v>16134</v>
      </c>
      <c r="WNM14" s="137" t="s">
        <v>16135</v>
      </c>
      <c r="WNN14" s="137" t="s">
        <v>16136</v>
      </c>
      <c r="WNO14" s="137" t="s">
        <v>16137</v>
      </c>
      <c r="WNP14" s="137" t="s">
        <v>16138</v>
      </c>
      <c r="WNQ14" s="137" t="s">
        <v>16139</v>
      </c>
      <c r="WNR14" s="137" t="s">
        <v>16140</v>
      </c>
      <c r="WNS14" s="137" t="s">
        <v>16141</v>
      </c>
      <c r="WNT14" s="137" t="s">
        <v>16142</v>
      </c>
      <c r="WNU14" s="137" t="s">
        <v>16143</v>
      </c>
      <c r="WNV14" s="137" t="s">
        <v>16144</v>
      </c>
      <c r="WNW14" s="137" t="s">
        <v>16145</v>
      </c>
      <c r="WNX14" s="137" t="s">
        <v>16146</v>
      </c>
      <c r="WNY14" s="137" t="s">
        <v>16147</v>
      </c>
      <c r="WNZ14" s="137" t="s">
        <v>16148</v>
      </c>
      <c r="WOA14" s="137" t="s">
        <v>16149</v>
      </c>
      <c r="WOB14" s="137" t="s">
        <v>16150</v>
      </c>
      <c r="WOC14" s="137" t="s">
        <v>16151</v>
      </c>
      <c r="WOD14" s="137" t="s">
        <v>16152</v>
      </c>
      <c r="WOE14" s="137" t="s">
        <v>16153</v>
      </c>
      <c r="WOF14" s="137" t="s">
        <v>16154</v>
      </c>
      <c r="WOG14" s="137" t="s">
        <v>16155</v>
      </c>
      <c r="WOH14" s="137" t="s">
        <v>16156</v>
      </c>
      <c r="WOI14" s="137" t="s">
        <v>16157</v>
      </c>
      <c r="WOJ14" s="137" t="s">
        <v>16158</v>
      </c>
      <c r="WOK14" s="137" t="s">
        <v>16159</v>
      </c>
      <c r="WOL14" s="137" t="s">
        <v>16160</v>
      </c>
      <c r="WOM14" s="137" t="s">
        <v>16161</v>
      </c>
      <c r="WON14" s="137" t="s">
        <v>16162</v>
      </c>
      <c r="WOO14" s="137" t="s">
        <v>16163</v>
      </c>
      <c r="WOP14" s="137" t="s">
        <v>16164</v>
      </c>
      <c r="WOQ14" s="137" t="s">
        <v>16165</v>
      </c>
      <c r="WOR14" s="137" t="s">
        <v>16166</v>
      </c>
      <c r="WOS14" s="137" t="s">
        <v>16167</v>
      </c>
      <c r="WOT14" s="137" t="s">
        <v>16168</v>
      </c>
      <c r="WOU14" s="137" t="s">
        <v>16169</v>
      </c>
      <c r="WOV14" s="137" t="s">
        <v>16170</v>
      </c>
      <c r="WOW14" s="137" t="s">
        <v>16171</v>
      </c>
      <c r="WOX14" s="137" t="s">
        <v>16172</v>
      </c>
      <c r="WOY14" s="137" t="s">
        <v>16173</v>
      </c>
      <c r="WOZ14" s="137" t="s">
        <v>16174</v>
      </c>
      <c r="WPA14" s="137" t="s">
        <v>16175</v>
      </c>
      <c r="WPB14" s="137" t="s">
        <v>16176</v>
      </c>
      <c r="WPC14" s="137" t="s">
        <v>16177</v>
      </c>
      <c r="WPD14" s="137" t="s">
        <v>16178</v>
      </c>
      <c r="WPE14" s="137" t="s">
        <v>16179</v>
      </c>
      <c r="WPF14" s="137" t="s">
        <v>16180</v>
      </c>
      <c r="WPG14" s="137" t="s">
        <v>16181</v>
      </c>
      <c r="WPH14" s="137" t="s">
        <v>16182</v>
      </c>
      <c r="WPI14" s="137" t="s">
        <v>16183</v>
      </c>
      <c r="WPJ14" s="137" t="s">
        <v>16184</v>
      </c>
      <c r="WPK14" s="137" t="s">
        <v>16185</v>
      </c>
      <c r="WPL14" s="137" t="s">
        <v>16186</v>
      </c>
      <c r="WPM14" s="137" t="s">
        <v>16187</v>
      </c>
      <c r="WPN14" s="137" t="s">
        <v>16188</v>
      </c>
      <c r="WPO14" s="137" t="s">
        <v>16189</v>
      </c>
      <c r="WPP14" s="137" t="s">
        <v>16190</v>
      </c>
      <c r="WPQ14" s="137" t="s">
        <v>16191</v>
      </c>
      <c r="WPR14" s="137" t="s">
        <v>16192</v>
      </c>
      <c r="WPS14" s="137" t="s">
        <v>16193</v>
      </c>
      <c r="WPT14" s="137" t="s">
        <v>16194</v>
      </c>
      <c r="WPU14" s="137" t="s">
        <v>16195</v>
      </c>
      <c r="WPV14" s="137" t="s">
        <v>16196</v>
      </c>
      <c r="WPW14" s="137" t="s">
        <v>16197</v>
      </c>
      <c r="WPX14" s="137" t="s">
        <v>16198</v>
      </c>
      <c r="WPY14" s="137" t="s">
        <v>16199</v>
      </c>
      <c r="WPZ14" s="137" t="s">
        <v>16200</v>
      </c>
      <c r="WQA14" s="137" t="s">
        <v>16201</v>
      </c>
      <c r="WQB14" s="137" t="s">
        <v>16202</v>
      </c>
      <c r="WQC14" s="137" t="s">
        <v>16203</v>
      </c>
      <c r="WQD14" s="137" t="s">
        <v>16204</v>
      </c>
      <c r="WQE14" s="137" t="s">
        <v>16205</v>
      </c>
      <c r="WQF14" s="137" t="s">
        <v>16206</v>
      </c>
      <c r="WQG14" s="137" t="s">
        <v>16207</v>
      </c>
      <c r="WQH14" s="137" t="s">
        <v>16208</v>
      </c>
      <c r="WQI14" s="137" t="s">
        <v>16209</v>
      </c>
      <c r="WQJ14" s="137" t="s">
        <v>16210</v>
      </c>
      <c r="WQK14" s="137" t="s">
        <v>16211</v>
      </c>
      <c r="WQL14" s="137" t="s">
        <v>16212</v>
      </c>
      <c r="WQM14" s="137" t="s">
        <v>16213</v>
      </c>
      <c r="WQN14" s="137" t="s">
        <v>16214</v>
      </c>
      <c r="WQO14" s="137" t="s">
        <v>16215</v>
      </c>
      <c r="WQP14" s="137" t="s">
        <v>16216</v>
      </c>
      <c r="WQQ14" s="137" t="s">
        <v>16217</v>
      </c>
      <c r="WQR14" s="137" t="s">
        <v>16218</v>
      </c>
      <c r="WQS14" s="137" t="s">
        <v>16219</v>
      </c>
      <c r="WQT14" s="137" t="s">
        <v>16220</v>
      </c>
      <c r="WQU14" s="137" t="s">
        <v>16221</v>
      </c>
      <c r="WQV14" s="137" t="s">
        <v>16222</v>
      </c>
      <c r="WQW14" s="137" t="s">
        <v>16223</v>
      </c>
      <c r="WQX14" s="137" t="s">
        <v>16224</v>
      </c>
      <c r="WQY14" s="137" t="s">
        <v>16225</v>
      </c>
      <c r="WQZ14" s="137" t="s">
        <v>16226</v>
      </c>
      <c r="WRA14" s="137" t="s">
        <v>16227</v>
      </c>
      <c r="WRB14" s="137" t="s">
        <v>16228</v>
      </c>
      <c r="WRC14" s="137" t="s">
        <v>16229</v>
      </c>
      <c r="WRD14" s="137" t="s">
        <v>16230</v>
      </c>
      <c r="WRE14" s="137" t="s">
        <v>16231</v>
      </c>
      <c r="WRF14" s="137" t="s">
        <v>16232</v>
      </c>
      <c r="WRG14" s="137" t="s">
        <v>16233</v>
      </c>
      <c r="WRH14" s="137" t="s">
        <v>16234</v>
      </c>
      <c r="WRI14" s="137" t="s">
        <v>16235</v>
      </c>
      <c r="WRJ14" s="137" t="s">
        <v>16236</v>
      </c>
      <c r="WRK14" s="137" t="s">
        <v>16237</v>
      </c>
      <c r="WRL14" s="137" t="s">
        <v>16238</v>
      </c>
      <c r="WRM14" s="137" t="s">
        <v>16239</v>
      </c>
      <c r="WRN14" s="137" t="s">
        <v>16240</v>
      </c>
      <c r="WRO14" s="137" t="s">
        <v>16241</v>
      </c>
      <c r="WRP14" s="137" t="s">
        <v>16242</v>
      </c>
      <c r="WRQ14" s="137" t="s">
        <v>16243</v>
      </c>
      <c r="WRR14" s="137" t="s">
        <v>16244</v>
      </c>
      <c r="WRS14" s="137" t="s">
        <v>16245</v>
      </c>
      <c r="WRT14" s="137" t="s">
        <v>16246</v>
      </c>
      <c r="WRU14" s="137" t="s">
        <v>16247</v>
      </c>
      <c r="WRV14" s="137" t="s">
        <v>16248</v>
      </c>
      <c r="WRW14" s="137" t="s">
        <v>16249</v>
      </c>
      <c r="WRX14" s="137" t="s">
        <v>16250</v>
      </c>
      <c r="WRY14" s="137" t="s">
        <v>16251</v>
      </c>
      <c r="WRZ14" s="137" t="s">
        <v>16252</v>
      </c>
      <c r="WSA14" s="137" t="s">
        <v>16253</v>
      </c>
      <c r="WSB14" s="137" t="s">
        <v>16254</v>
      </c>
      <c r="WSC14" s="137" t="s">
        <v>16255</v>
      </c>
      <c r="WSD14" s="137" t="s">
        <v>16256</v>
      </c>
      <c r="WSE14" s="137" t="s">
        <v>16257</v>
      </c>
      <c r="WSF14" s="137" t="s">
        <v>16258</v>
      </c>
      <c r="WSG14" s="137" t="s">
        <v>16259</v>
      </c>
      <c r="WSH14" s="137" t="s">
        <v>16260</v>
      </c>
      <c r="WSI14" s="137" t="s">
        <v>16261</v>
      </c>
      <c r="WSJ14" s="137" t="s">
        <v>16262</v>
      </c>
      <c r="WSK14" s="137" t="s">
        <v>16263</v>
      </c>
      <c r="WSL14" s="137" t="s">
        <v>16264</v>
      </c>
      <c r="WSM14" s="137" t="s">
        <v>16265</v>
      </c>
      <c r="WSN14" s="137" t="s">
        <v>16266</v>
      </c>
      <c r="WSO14" s="137" t="s">
        <v>16267</v>
      </c>
      <c r="WSP14" s="137" t="s">
        <v>16268</v>
      </c>
      <c r="WSQ14" s="137" t="s">
        <v>16269</v>
      </c>
      <c r="WSR14" s="137" t="s">
        <v>16270</v>
      </c>
      <c r="WSS14" s="137" t="s">
        <v>16271</v>
      </c>
      <c r="WST14" s="137" t="s">
        <v>16272</v>
      </c>
      <c r="WSU14" s="137" t="s">
        <v>16273</v>
      </c>
      <c r="WSV14" s="137" t="s">
        <v>16274</v>
      </c>
      <c r="WSW14" s="137" t="s">
        <v>16275</v>
      </c>
      <c r="WSX14" s="137" t="s">
        <v>16276</v>
      </c>
      <c r="WSY14" s="137" t="s">
        <v>16277</v>
      </c>
      <c r="WSZ14" s="137" t="s">
        <v>16278</v>
      </c>
      <c r="WTA14" s="137" t="s">
        <v>16279</v>
      </c>
      <c r="WTB14" s="137" t="s">
        <v>16280</v>
      </c>
      <c r="WTC14" s="137" t="s">
        <v>16281</v>
      </c>
      <c r="WTD14" s="137" t="s">
        <v>16282</v>
      </c>
      <c r="WTE14" s="137" t="s">
        <v>16283</v>
      </c>
      <c r="WTF14" s="137" t="s">
        <v>16284</v>
      </c>
      <c r="WTG14" s="137" t="s">
        <v>16285</v>
      </c>
      <c r="WTH14" s="137" t="s">
        <v>16286</v>
      </c>
      <c r="WTI14" s="137" t="s">
        <v>16287</v>
      </c>
      <c r="WTJ14" s="137" t="s">
        <v>16288</v>
      </c>
      <c r="WTK14" s="137" t="s">
        <v>16289</v>
      </c>
      <c r="WTL14" s="137" t="s">
        <v>16290</v>
      </c>
      <c r="WTM14" s="137" t="s">
        <v>16291</v>
      </c>
      <c r="WTN14" s="137" t="s">
        <v>16292</v>
      </c>
      <c r="WTO14" s="137" t="s">
        <v>16293</v>
      </c>
      <c r="WTP14" s="137" t="s">
        <v>16294</v>
      </c>
      <c r="WTQ14" s="137" t="s">
        <v>16295</v>
      </c>
      <c r="WTR14" s="137" t="s">
        <v>16296</v>
      </c>
      <c r="WTS14" s="137" t="s">
        <v>16297</v>
      </c>
      <c r="WTT14" s="137" t="s">
        <v>16298</v>
      </c>
      <c r="WTU14" s="137" t="s">
        <v>16299</v>
      </c>
      <c r="WTV14" s="137" t="s">
        <v>16300</v>
      </c>
      <c r="WTW14" s="137" t="s">
        <v>16301</v>
      </c>
      <c r="WTX14" s="137" t="s">
        <v>16302</v>
      </c>
      <c r="WTY14" s="137" t="s">
        <v>16303</v>
      </c>
      <c r="WTZ14" s="137" t="s">
        <v>16304</v>
      </c>
      <c r="WUA14" s="137" t="s">
        <v>16305</v>
      </c>
      <c r="WUB14" s="137" t="s">
        <v>16306</v>
      </c>
      <c r="WUC14" s="137" t="s">
        <v>16307</v>
      </c>
      <c r="WUD14" s="137" t="s">
        <v>16308</v>
      </c>
      <c r="WUE14" s="137" t="s">
        <v>16309</v>
      </c>
      <c r="WUF14" s="137" t="s">
        <v>16310</v>
      </c>
      <c r="WUG14" s="137" t="s">
        <v>16311</v>
      </c>
      <c r="WUH14" s="137" t="s">
        <v>16312</v>
      </c>
      <c r="WUI14" s="137" t="s">
        <v>16313</v>
      </c>
      <c r="WUJ14" s="137" t="s">
        <v>16314</v>
      </c>
      <c r="WUK14" s="137" t="s">
        <v>16315</v>
      </c>
      <c r="WUL14" s="137" t="s">
        <v>16316</v>
      </c>
      <c r="WUM14" s="137" t="s">
        <v>16317</v>
      </c>
      <c r="WUN14" s="137" t="s">
        <v>16318</v>
      </c>
      <c r="WUO14" s="137" t="s">
        <v>16319</v>
      </c>
      <c r="WUP14" s="137" t="s">
        <v>16320</v>
      </c>
      <c r="WUQ14" s="137" t="s">
        <v>16321</v>
      </c>
      <c r="WUR14" s="137" t="s">
        <v>16322</v>
      </c>
      <c r="WUS14" s="137" t="s">
        <v>16323</v>
      </c>
      <c r="WUT14" s="137" t="s">
        <v>16324</v>
      </c>
      <c r="WUU14" s="137" t="s">
        <v>16325</v>
      </c>
      <c r="WUV14" s="137" t="s">
        <v>16326</v>
      </c>
      <c r="WUW14" s="137" t="s">
        <v>16327</v>
      </c>
      <c r="WUX14" s="137" t="s">
        <v>16328</v>
      </c>
      <c r="WUY14" s="137" t="s">
        <v>16329</v>
      </c>
      <c r="WUZ14" s="137" t="s">
        <v>16330</v>
      </c>
      <c r="WVA14" s="137" t="s">
        <v>16331</v>
      </c>
      <c r="WVB14" s="137" t="s">
        <v>16332</v>
      </c>
      <c r="WVC14" s="137" t="s">
        <v>16333</v>
      </c>
      <c r="WVD14" s="137" t="s">
        <v>16334</v>
      </c>
      <c r="WVE14" s="137" t="s">
        <v>16335</v>
      </c>
      <c r="WVF14" s="137" t="s">
        <v>16336</v>
      </c>
      <c r="WVG14" s="137" t="s">
        <v>16337</v>
      </c>
      <c r="WVH14" s="137" t="s">
        <v>16338</v>
      </c>
      <c r="WVI14" s="137" t="s">
        <v>16339</v>
      </c>
      <c r="WVJ14" s="137" t="s">
        <v>16340</v>
      </c>
      <c r="WVK14" s="137" t="s">
        <v>16341</v>
      </c>
      <c r="WVL14" s="137" t="s">
        <v>16342</v>
      </c>
      <c r="WVM14" s="137" t="s">
        <v>16343</v>
      </c>
      <c r="WVN14" s="137" t="s">
        <v>16344</v>
      </c>
      <c r="WVO14" s="137" t="s">
        <v>16345</v>
      </c>
      <c r="WVP14" s="137" t="s">
        <v>16346</v>
      </c>
      <c r="WVQ14" s="137" t="s">
        <v>16347</v>
      </c>
      <c r="WVR14" s="137" t="s">
        <v>16348</v>
      </c>
      <c r="WVS14" s="137" t="s">
        <v>16349</v>
      </c>
      <c r="WVT14" s="137" t="s">
        <v>16350</v>
      </c>
      <c r="WVU14" s="137" t="s">
        <v>16351</v>
      </c>
      <c r="WVV14" s="137" t="s">
        <v>16352</v>
      </c>
      <c r="WVW14" s="137" t="s">
        <v>16353</v>
      </c>
      <c r="WVX14" s="137" t="s">
        <v>16354</v>
      </c>
      <c r="WVY14" s="137" t="s">
        <v>16355</v>
      </c>
      <c r="WVZ14" s="137" t="s">
        <v>16356</v>
      </c>
      <c r="WWA14" s="137" t="s">
        <v>16357</v>
      </c>
      <c r="WWB14" s="137" t="s">
        <v>16358</v>
      </c>
      <c r="WWC14" s="137" t="s">
        <v>16359</v>
      </c>
      <c r="WWD14" s="137" t="s">
        <v>16360</v>
      </c>
      <c r="WWE14" s="137" t="s">
        <v>16361</v>
      </c>
      <c r="WWF14" s="137" t="s">
        <v>16362</v>
      </c>
      <c r="WWG14" s="137" t="s">
        <v>16363</v>
      </c>
      <c r="WWH14" s="137" t="s">
        <v>16364</v>
      </c>
      <c r="WWI14" s="137" t="s">
        <v>16365</v>
      </c>
      <c r="WWJ14" s="137" t="s">
        <v>16366</v>
      </c>
      <c r="WWK14" s="137" t="s">
        <v>16367</v>
      </c>
      <c r="WWL14" s="137" t="s">
        <v>16368</v>
      </c>
      <c r="WWM14" s="137" t="s">
        <v>16369</v>
      </c>
      <c r="WWN14" s="137" t="s">
        <v>16370</v>
      </c>
      <c r="WWO14" s="137" t="s">
        <v>16371</v>
      </c>
      <c r="WWP14" s="137" t="s">
        <v>16372</v>
      </c>
      <c r="WWQ14" s="137" t="s">
        <v>16373</v>
      </c>
      <c r="WWR14" s="137" t="s">
        <v>16374</v>
      </c>
      <c r="WWS14" s="137" t="s">
        <v>16375</v>
      </c>
      <c r="WWT14" s="137" t="s">
        <v>16376</v>
      </c>
      <c r="WWU14" s="137" t="s">
        <v>16377</v>
      </c>
      <c r="WWV14" s="137" t="s">
        <v>16378</v>
      </c>
      <c r="WWW14" s="137" t="s">
        <v>16379</v>
      </c>
      <c r="WWX14" s="137" t="s">
        <v>16380</v>
      </c>
      <c r="WWY14" s="137" t="s">
        <v>16381</v>
      </c>
      <c r="WWZ14" s="137" t="s">
        <v>16382</v>
      </c>
      <c r="WXA14" s="137" t="s">
        <v>16383</v>
      </c>
      <c r="WXB14" s="137" t="s">
        <v>16384</v>
      </c>
      <c r="WXC14" s="137" t="s">
        <v>16385</v>
      </c>
      <c r="WXD14" s="137" t="s">
        <v>16386</v>
      </c>
      <c r="WXE14" s="137" t="s">
        <v>16387</v>
      </c>
      <c r="WXF14" s="137" t="s">
        <v>16388</v>
      </c>
      <c r="WXG14" s="137" t="s">
        <v>16389</v>
      </c>
      <c r="WXH14" s="137" t="s">
        <v>16390</v>
      </c>
      <c r="WXI14" s="137" t="s">
        <v>16391</v>
      </c>
      <c r="WXJ14" s="137" t="s">
        <v>16392</v>
      </c>
      <c r="WXK14" s="137" t="s">
        <v>16393</v>
      </c>
      <c r="WXL14" s="137" t="s">
        <v>16394</v>
      </c>
      <c r="WXM14" s="137" t="s">
        <v>16395</v>
      </c>
      <c r="WXN14" s="137" t="s">
        <v>16396</v>
      </c>
      <c r="WXO14" s="137" t="s">
        <v>16397</v>
      </c>
      <c r="WXP14" s="137" t="s">
        <v>16398</v>
      </c>
      <c r="WXQ14" s="137" t="s">
        <v>16399</v>
      </c>
      <c r="WXR14" s="137" t="s">
        <v>16400</v>
      </c>
      <c r="WXS14" s="137" t="s">
        <v>16401</v>
      </c>
      <c r="WXT14" s="137" t="s">
        <v>16402</v>
      </c>
      <c r="WXU14" s="137" t="s">
        <v>16403</v>
      </c>
      <c r="WXV14" s="137" t="s">
        <v>16404</v>
      </c>
      <c r="WXW14" s="137" t="s">
        <v>16405</v>
      </c>
      <c r="WXX14" s="137" t="s">
        <v>16406</v>
      </c>
      <c r="WXY14" s="137" t="s">
        <v>16407</v>
      </c>
      <c r="WXZ14" s="137" t="s">
        <v>16408</v>
      </c>
      <c r="WYA14" s="137" t="s">
        <v>16409</v>
      </c>
      <c r="WYB14" s="137" t="s">
        <v>16410</v>
      </c>
      <c r="WYC14" s="137" t="s">
        <v>16411</v>
      </c>
      <c r="WYD14" s="137" t="s">
        <v>16412</v>
      </c>
      <c r="WYE14" s="137" t="s">
        <v>16413</v>
      </c>
      <c r="WYF14" s="137" t="s">
        <v>16414</v>
      </c>
      <c r="WYG14" s="137" t="s">
        <v>16415</v>
      </c>
      <c r="WYH14" s="137" t="s">
        <v>16416</v>
      </c>
      <c r="WYI14" s="137" t="s">
        <v>16417</v>
      </c>
      <c r="WYJ14" s="137" t="s">
        <v>16418</v>
      </c>
      <c r="WYK14" s="137" t="s">
        <v>16419</v>
      </c>
      <c r="WYL14" s="137" t="s">
        <v>16420</v>
      </c>
      <c r="WYM14" s="137" t="s">
        <v>16421</v>
      </c>
      <c r="WYN14" s="137" t="s">
        <v>16422</v>
      </c>
      <c r="WYO14" s="137" t="s">
        <v>16423</v>
      </c>
      <c r="WYP14" s="137" t="s">
        <v>16424</v>
      </c>
      <c r="WYQ14" s="137" t="s">
        <v>16425</v>
      </c>
      <c r="WYR14" s="137" t="s">
        <v>16426</v>
      </c>
      <c r="WYS14" s="137" t="s">
        <v>16427</v>
      </c>
      <c r="WYT14" s="137" t="s">
        <v>16428</v>
      </c>
      <c r="WYU14" s="137" t="s">
        <v>16429</v>
      </c>
      <c r="WYV14" s="137" t="s">
        <v>16430</v>
      </c>
      <c r="WYW14" s="137" t="s">
        <v>16431</v>
      </c>
      <c r="WYX14" s="137" t="s">
        <v>16432</v>
      </c>
      <c r="WYY14" s="137" t="s">
        <v>16433</v>
      </c>
      <c r="WYZ14" s="137" t="s">
        <v>16434</v>
      </c>
      <c r="WZA14" s="137" t="s">
        <v>16435</v>
      </c>
      <c r="WZB14" s="137" t="s">
        <v>16436</v>
      </c>
      <c r="WZC14" s="137" t="s">
        <v>16437</v>
      </c>
      <c r="WZD14" s="137" t="s">
        <v>16438</v>
      </c>
      <c r="WZE14" s="137" t="s">
        <v>16439</v>
      </c>
      <c r="WZF14" s="137" t="s">
        <v>16440</v>
      </c>
      <c r="WZG14" s="137" t="s">
        <v>16441</v>
      </c>
      <c r="WZH14" s="137" t="s">
        <v>16442</v>
      </c>
      <c r="WZI14" s="137" t="s">
        <v>16443</v>
      </c>
      <c r="WZJ14" s="137" t="s">
        <v>16444</v>
      </c>
      <c r="WZK14" s="137" t="s">
        <v>16445</v>
      </c>
      <c r="WZL14" s="137" t="s">
        <v>16446</v>
      </c>
      <c r="WZM14" s="137" t="s">
        <v>16447</v>
      </c>
      <c r="WZN14" s="137" t="s">
        <v>16448</v>
      </c>
      <c r="WZO14" s="137" t="s">
        <v>16449</v>
      </c>
      <c r="WZP14" s="137" t="s">
        <v>16450</v>
      </c>
      <c r="WZQ14" s="137" t="s">
        <v>16451</v>
      </c>
      <c r="WZR14" s="137" t="s">
        <v>16452</v>
      </c>
      <c r="WZS14" s="137" t="s">
        <v>16453</v>
      </c>
      <c r="WZT14" s="137" t="s">
        <v>16454</v>
      </c>
      <c r="WZU14" s="137" t="s">
        <v>16455</v>
      </c>
      <c r="WZV14" s="137" t="s">
        <v>16456</v>
      </c>
      <c r="WZW14" s="137" t="s">
        <v>16457</v>
      </c>
      <c r="WZX14" s="137" t="s">
        <v>16458</v>
      </c>
      <c r="WZY14" s="137" t="s">
        <v>16459</v>
      </c>
      <c r="WZZ14" s="137" t="s">
        <v>16460</v>
      </c>
      <c r="XAA14" s="137" t="s">
        <v>16461</v>
      </c>
      <c r="XAB14" s="137" t="s">
        <v>16462</v>
      </c>
      <c r="XAC14" s="137" t="s">
        <v>16463</v>
      </c>
      <c r="XAD14" s="137" t="s">
        <v>16464</v>
      </c>
      <c r="XAE14" s="137" t="s">
        <v>16465</v>
      </c>
      <c r="XAF14" s="137" t="s">
        <v>16466</v>
      </c>
      <c r="XAG14" s="137" t="s">
        <v>16467</v>
      </c>
      <c r="XAH14" s="137" t="s">
        <v>16468</v>
      </c>
      <c r="XAI14" s="137" t="s">
        <v>16469</v>
      </c>
      <c r="XAJ14" s="137" t="s">
        <v>16470</v>
      </c>
      <c r="XAK14" s="137" t="s">
        <v>16471</v>
      </c>
      <c r="XAL14" s="137" t="s">
        <v>16472</v>
      </c>
      <c r="XAM14" s="137" t="s">
        <v>16473</v>
      </c>
      <c r="XAN14" s="137" t="s">
        <v>16474</v>
      </c>
      <c r="XAO14" s="137" t="s">
        <v>16475</v>
      </c>
      <c r="XAP14" s="137" t="s">
        <v>16476</v>
      </c>
      <c r="XAQ14" s="137" t="s">
        <v>16477</v>
      </c>
      <c r="XAR14" s="137" t="s">
        <v>16478</v>
      </c>
      <c r="XAS14" s="137" t="s">
        <v>16479</v>
      </c>
      <c r="XAT14" s="137" t="s">
        <v>16480</v>
      </c>
      <c r="XAU14" s="137" t="s">
        <v>16481</v>
      </c>
      <c r="XAV14" s="137" t="s">
        <v>16482</v>
      </c>
      <c r="XAW14" s="137" t="s">
        <v>16483</v>
      </c>
      <c r="XAX14" s="137" t="s">
        <v>16484</v>
      </c>
      <c r="XAY14" s="137" t="s">
        <v>16485</v>
      </c>
      <c r="XAZ14" s="137" t="s">
        <v>16486</v>
      </c>
      <c r="XBA14" s="137" t="s">
        <v>16487</v>
      </c>
      <c r="XBB14" s="137" t="s">
        <v>16488</v>
      </c>
      <c r="XBC14" s="137" t="s">
        <v>16489</v>
      </c>
      <c r="XBD14" s="137" t="s">
        <v>16490</v>
      </c>
      <c r="XBE14" s="137" t="s">
        <v>16491</v>
      </c>
      <c r="XBF14" s="137" t="s">
        <v>16492</v>
      </c>
      <c r="XBG14" s="137" t="s">
        <v>16493</v>
      </c>
      <c r="XBH14" s="137" t="s">
        <v>16494</v>
      </c>
      <c r="XBI14" s="137" t="s">
        <v>16495</v>
      </c>
      <c r="XBJ14" s="137" t="s">
        <v>16496</v>
      </c>
      <c r="XBK14" s="137" t="s">
        <v>16497</v>
      </c>
      <c r="XBL14" s="137" t="s">
        <v>16498</v>
      </c>
      <c r="XBM14" s="137" t="s">
        <v>16499</v>
      </c>
      <c r="XBN14" s="137" t="s">
        <v>16500</v>
      </c>
      <c r="XBO14" s="137" t="s">
        <v>16501</v>
      </c>
      <c r="XBP14" s="137" t="s">
        <v>16502</v>
      </c>
      <c r="XBQ14" s="137" t="s">
        <v>16503</v>
      </c>
      <c r="XBR14" s="137" t="s">
        <v>16504</v>
      </c>
      <c r="XBS14" s="137" t="s">
        <v>16505</v>
      </c>
      <c r="XBT14" s="137" t="s">
        <v>16506</v>
      </c>
      <c r="XBU14" s="137" t="s">
        <v>16507</v>
      </c>
      <c r="XBV14" s="137" t="s">
        <v>16508</v>
      </c>
      <c r="XBW14" s="137" t="s">
        <v>16509</v>
      </c>
      <c r="XBX14" s="137" t="s">
        <v>16510</v>
      </c>
      <c r="XBY14" s="137" t="s">
        <v>16511</v>
      </c>
      <c r="XBZ14" s="137" t="s">
        <v>16512</v>
      </c>
      <c r="XCA14" s="137" t="s">
        <v>16513</v>
      </c>
      <c r="XCB14" s="137" t="s">
        <v>16514</v>
      </c>
      <c r="XCC14" s="137" t="s">
        <v>16515</v>
      </c>
      <c r="XCD14" s="137" t="s">
        <v>16516</v>
      </c>
      <c r="XCE14" s="137" t="s">
        <v>16517</v>
      </c>
      <c r="XCF14" s="137" t="s">
        <v>16518</v>
      </c>
      <c r="XCG14" s="137" t="s">
        <v>16519</v>
      </c>
      <c r="XCH14" s="137" t="s">
        <v>16520</v>
      </c>
      <c r="XCI14" s="137" t="s">
        <v>16521</v>
      </c>
      <c r="XCJ14" s="137" t="s">
        <v>16522</v>
      </c>
      <c r="XCK14" s="137" t="s">
        <v>16523</v>
      </c>
      <c r="XCL14" s="137" t="s">
        <v>16524</v>
      </c>
      <c r="XCM14" s="137" t="s">
        <v>16525</v>
      </c>
      <c r="XCN14" s="137" t="s">
        <v>16526</v>
      </c>
      <c r="XCO14" s="137" t="s">
        <v>16527</v>
      </c>
      <c r="XCP14" s="137" t="s">
        <v>16528</v>
      </c>
      <c r="XCQ14" s="137" t="s">
        <v>16529</v>
      </c>
      <c r="XCR14" s="137" t="s">
        <v>16530</v>
      </c>
      <c r="XCS14" s="137" t="s">
        <v>16531</v>
      </c>
      <c r="XCT14" s="137" t="s">
        <v>16532</v>
      </c>
      <c r="XCU14" s="137" t="s">
        <v>16533</v>
      </c>
      <c r="XCV14" s="137" t="s">
        <v>16534</v>
      </c>
      <c r="XCW14" s="137" t="s">
        <v>16535</v>
      </c>
      <c r="XCX14" s="137" t="s">
        <v>16536</v>
      </c>
      <c r="XCY14" s="137" t="s">
        <v>16537</v>
      </c>
      <c r="XCZ14" s="137" t="s">
        <v>16538</v>
      </c>
      <c r="XDA14" s="137" t="s">
        <v>16539</v>
      </c>
      <c r="XDB14" s="137" t="s">
        <v>16540</v>
      </c>
      <c r="XDC14" s="137" t="s">
        <v>16541</v>
      </c>
      <c r="XDD14" s="137" t="s">
        <v>16542</v>
      </c>
      <c r="XDE14" s="137" t="s">
        <v>16543</v>
      </c>
      <c r="XDF14" s="137" t="s">
        <v>16544</v>
      </c>
      <c r="XDG14" s="137" t="s">
        <v>16545</v>
      </c>
      <c r="XDH14" s="137" t="s">
        <v>16546</v>
      </c>
      <c r="XDI14" s="137" t="s">
        <v>16547</v>
      </c>
      <c r="XDJ14" s="137" t="s">
        <v>16548</v>
      </c>
      <c r="XDK14" s="137" t="s">
        <v>16549</v>
      </c>
      <c r="XDL14" s="137" t="s">
        <v>16550</v>
      </c>
      <c r="XDM14" s="137" t="s">
        <v>16551</v>
      </c>
      <c r="XDN14" s="137" t="s">
        <v>16552</v>
      </c>
      <c r="XDO14" s="137" t="s">
        <v>16553</v>
      </c>
      <c r="XDP14" s="137" t="s">
        <v>16554</v>
      </c>
      <c r="XDQ14" s="137" t="s">
        <v>16555</v>
      </c>
      <c r="XDR14" s="137" t="s">
        <v>16556</v>
      </c>
      <c r="XDS14" s="137" t="s">
        <v>16557</v>
      </c>
      <c r="XDT14" s="137" t="s">
        <v>16558</v>
      </c>
      <c r="XDU14" s="137" t="s">
        <v>16559</v>
      </c>
      <c r="XDV14" s="137" t="s">
        <v>16560</v>
      </c>
      <c r="XDW14" s="137" t="s">
        <v>16561</v>
      </c>
      <c r="XDX14" s="137" t="s">
        <v>16562</v>
      </c>
      <c r="XDY14" s="137" t="s">
        <v>16563</v>
      </c>
      <c r="XDZ14" s="137" t="s">
        <v>16564</v>
      </c>
      <c r="XEA14" s="137" t="s">
        <v>16565</v>
      </c>
      <c r="XEB14" s="137" t="s">
        <v>16566</v>
      </c>
      <c r="XEC14" s="137" t="s">
        <v>16567</v>
      </c>
      <c r="XED14" s="137" t="s">
        <v>16568</v>
      </c>
      <c r="XEE14" s="137" t="s">
        <v>16569</v>
      </c>
      <c r="XEF14" s="137" t="s">
        <v>16570</v>
      </c>
      <c r="XEG14" s="137" t="s">
        <v>16571</v>
      </c>
      <c r="XEH14" s="137" t="s">
        <v>16572</v>
      </c>
      <c r="XEI14" s="137" t="s">
        <v>16573</v>
      </c>
      <c r="XEJ14" s="137" t="s">
        <v>16574</v>
      </c>
      <c r="XEK14" s="137" t="s">
        <v>16575</v>
      </c>
      <c r="XEL14" s="137" t="s">
        <v>16576</v>
      </c>
      <c r="XEM14" s="137" t="s">
        <v>16577</v>
      </c>
      <c r="XEN14" s="137" t="s">
        <v>16578</v>
      </c>
      <c r="XEO14" s="137" t="s">
        <v>16579</v>
      </c>
      <c r="XEP14" s="137" t="s">
        <v>16580</v>
      </c>
      <c r="XEQ14" s="137" t="s">
        <v>16581</v>
      </c>
      <c r="XER14" s="137" t="s">
        <v>16582</v>
      </c>
      <c r="XES14" s="137" t="s">
        <v>16583</v>
      </c>
      <c r="XET14" s="137" t="s">
        <v>16584</v>
      </c>
      <c r="XEU14" s="137" t="s">
        <v>16585</v>
      </c>
      <c r="XEV14" s="137" t="s">
        <v>16586</v>
      </c>
      <c r="XEW14" s="137" t="s">
        <v>16587</v>
      </c>
      <c r="XEX14" s="137" t="s">
        <v>16588</v>
      </c>
      <c r="XEY14" s="137" t="s">
        <v>16589</v>
      </c>
      <c r="XEZ14" s="137" t="s">
        <v>16590</v>
      </c>
      <c r="XFA14" s="137" t="s">
        <v>16591</v>
      </c>
      <c r="XFB14" s="137" t="s">
        <v>16592</v>
      </c>
      <c r="XFC14" s="137" t="s">
        <v>16593</v>
      </c>
      <c r="XFD14" s="137" t="s">
        <v>16594</v>
      </c>
    </row>
    <row r="15">
      <c r="A15" s="138">
        <v>1.0</v>
      </c>
      <c r="B15" s="139">
        <v>47.0</v>
      </c>
      <c r="C15" s="140">
        <f t="shared" ref="C15:C58" si="1">B15+$E$7</f>
        <v>46</v>
      </c>
      <c r="D15" s="141">
        <f>$B$6+$B$7+$B$8</f>
        <v>586986.29</v>
      </c>
      <c r="E15" s="141">
        <f>$B$9</f>
        <v>1476432.85</v>
      </c>
      <c r="F15" s="141">
        <f>$B$10</f>
        <v>430967.93</v>
      </c>
      <c r="G15" s="141">
        <f>$E$5</f>
        <v>100000</v>
      </c>
      <c r="H15" s="141">
        <f>$E$6</f>
        <v>4800</v>
      </c>
      <c r="I15" s="141">
        <f t="shared" ref="I15:I58" si="4">MAX(0, (K15 + S15 - 29200) * 12%)</f>
        <v>0</v>
      </c>
      <c r="J15" s="141">
        <f t="shared" ref="J15:J58" si="5">G15+H15+I15</f>
        <v>104800</v>
      </c>
      <c r="K15" s="141">
        <f t="shared" ref="K15:K58" si="6">IF(B15&gt;=55, $E$3, 0) + IF(B15&gt;=62, $E$4, 0)</f>
        <v>0</v>
      </c>
      <c r="L15" s="141">
        <f t="shared" ref="L15:L58" si="7">MIN(D15, MAX(0, J15-K15))</f>
        <v>104800</v>
      </c>
      <c r="M15" s="141">
        <f t="shared" ref="M15:M27" si="8">IF(C15&lt;60, MIN(F15, MAX(0, J15-K15-L15)), 0)</f>
        <v>0</v>
      </c>
      <c r="N15" s="141">
        <f t="shared" ref="N15:N28" si="9">IF(C15&gt;=60, MIN(E15, MAX(0, J15-K15-L15-M15)), 0)</f>
        <v>0</v>
      </c>
      <c r="O15" s="141">
        <f t="shared" ref="O15:O58" si="10">MAX(0, (D15-L15))*(1+$B$4)</f>
        <v>501473.7416</v>
      </c>
      <c r="P15" s="141">
        <f t="shared" ref="P15:P33" si="11">IF(B15&lt;65, MAX(0, $E$8 - S15 - K15), $E$9)</f>
        <v>61120.5484</v>
      </c>
      <c r="Q15" s="141">
        <f t="shared" ref="Q15:Q58" si="12">MAX(0, (E15-N15-P15))*(1+$B$3)</f>
        <v>1500231.04</v>
      </c>
      <c r="R15" s="141">
        <f t="shared" ref="R15:R58" si="13">MAX(0, (F15-M15+P15))*(1+$B$3)</f>
        <v>521613.7871</v>
      </c>
      <c r="S15" s="141">
        <f t="shared" ref="S15:S58" si="14">D15*4%</f>
        <v>23479.4516</v>
      </c>
    </row>
    <row r="16">
      <c r="A16" s="138">
        <v>2.0</v>
      </c>
      <c r="B16" s="139">
        <v>48.0</v>
      </c>
      <c r="C16" s="140">
        <f t="shared" si="1"/>
        <v>47</v>
      </c>
      <c r="D16" s="141">
        <f t="shared" ref="D16:D58" si="15">O15</f>
        <v>501473.7416</v>
      </c>
      <c r="E16" s="141">
        <f t="shared" ref="E16:F16" si="2">Q15</f>
        <v>1500231.04</v>
      </c>
      <c r="F16" s="141">
        <f t="shared" si="2"/>
        <v>521613.7871</v>
      </c>
      <c r="G16" s="141">
        <f t="shared" ref="G16:H16" si="3">G15*(1+$B$5)</f>
        <v>103000</v>
      </c>
      <c r="H16" s="141">
        <f t="shared" si="3"/>
        <v>4944</v>
      </c>
      <c r="I16" s="141">
        <f t="shared" si="4"/>
        <v>0</v>
      </c>
      <c r="J16" s="141">
        <f t="shared" si="5"/>
        <v>107944</v>
      </c>
      <c r="K16" s="141">
        <f t="shared" si="6"/>
        <v>0</v>
      </c>
      <c r="L16" s="141">
        <f t="shared" si="7"/>
        <v>107944</v>
      </c>
      <c r="M16" s="141">
        <f t="shared" si="8"/>
        <v>0</v>
      </c>
      <c r="N16" s="141">
        <f t="shared" si="9"/>
        <v>0</v>
      </c>
      <c r="O16" s="141">
        <f t="shared" si="10"/>
        <v>409270.9313</v>
      </c>
      <c r="P16" s="141">
        <f t="shared" si="11"/>
        <v>64541.05034</v>
      </c>
      <c r="Q16" s="141">
        <f t="shared" si="12"/>
        <v>1521831.389</v>
      </c>
      <c r="R16" s="141">
        <f t="shared" si="13"/>
        <v>621324.1277</v>
      </c>
      <c r="S16" s="141">
        <f t="shared" si="14"/>
        <v>20058.94966</v>
      </c>
    </row>
    <row r="17">
      <c r="A17" s="138">
        <v>3.0</v>
      </c>
      <c r="B17" s="139">
        <v>49.0</v>
      </c>
      <c r="C17" s="140">
        <f t="shared" si="1"/>
        <v>48</v>
      </c>
      <c r="D17" s="141">
        <f t="shared" si="15"/>
        <v>409270.9313</v>
      </c>
      <c r="E17" s="141">
        <f t="shared" ref="E17:F17" si="16">Q16</f>
        <v>1521831.389</v>
      </c>
      <c r="F17" s="141">
        <f t="shared" si="16"/>
        <v>621324.1277</v>
      </c>
      <c r="G17" s="141">
        <f t="shared" ref="G17:H17" si="17">G16*(1+$B$5)</f>
        <v>106090</v>
      </c>
      <c r="H17" s="141">
        <f t="shared" si="17"/>
        <v>5092.32</v>
      </c>
      <c r="I17" s="141">
        <f t="shared" si="4"/>
        <v>0</v>
      </c>
      <c r="J17" s="141">
        <f t="shared" si="5"/>
        <v>111182.32</v>
      </c>
      <c r="K17" s="141">
        <f t="shared" si="6"/>
        <v>0</v>
      </c>
      <c r="L17" s="141">
        <f t="shared" si="7"/>
        <v>111182.32</v>
      </c>
      <c r="M17" s="141">
        <f t="shared" si="8"/>
        <v>0</v>
      </c>
      <c r="N17" s="141">
        <f t="shared" si="9"/>
        <v>0</v>
      </c>
      <c r="O17" s="141">
        <f t="shared" si="10"/>
        <v>310012.1557</v>
      </c>
      <c r="P17" s="141">
        <f t="shared" si="11"/>
        <v>68229.16275</v>
      </c>
      <c r="Q17" s="141">
        <f t="shared" si="12"/>
        <v>1540818.36</v>
      </c>
      <c r="R17" s="141">
        <f t="shared" si="13"/>
        <v>730926.4879</v>
      </c>
      <c r="S17" s="141">
        <f t="shared" si="14"/>
        <v>16370.83725</v>
      </c>
    </row>
    <row r="18">
      <c r="A18" s="138">
        <v>4.0</v>
      </c>
      <c r="B18" s="139">
        <v>50.0</v>
      </c>
      <c r="C18" s="140">
        <f t="shared" si="1"/>
        <v>49</v>
      </c>
      <c r="D18" s="141">
        <f t="shared" si="15"/>
        <v>310012.1557</v>
      </c>
      <c r="E18" s="141">
        <f t="shared" ref="E18:F18" si="18">Q17</f>
        <v>1540818.36</v>
      </c>
      <c r="F18" s="141">
        <f t="shared" si="18"/>
        <v>730926.4879</v>
      </c>
      <c r="G18" s="141">
        <f t="shared" ref="G18:H18" si="19">G17*(1+$B$5)</f>
        <v>109272.7</v>
      </c>
      <c r="H18" s="141">
        <f t="shared" si="19"/>
        <v>5245.0896</v>
      </c>
      <c r="I18" s="141">
        <f t="shared" si="4"/>
        <v>0</v>
      </c>
      <c r="J18" s="141">
        <f t="shared" si="5"/>
        <v>114517.7896</v>
      </c>
      <c r="K18" s="141">
        <f t="shared" si="6"/>
        <v>0</v>
      </c>
      <c r="L18" s="141">
        <f t="shared" si="7"/>
        <v>114517.7896</v>
      </c>
      <c r="M18" s="141">
        <f t="shared" si="8"/>
        <v>0</v>
      </c>
      <c r="N18" s="141">
        <f t="shared" si="9"/>
        <v>0</v>
      </c>
      <c r="O18" s="141">
        <f t="shared" si="10"/>
        <v>203314.1408</v>
      </c>
      <c r="P18" s="141">
        <f t="shared" si="11"/>
        <v>72199.51377</v>
      </c>
      <c r="Q18" s="141">
        <f t="shared" si="12"/>
        <v>1556735.977</v>
      </c>
      <c r="R18" s="141">
        <f t="shared" si="13"/>
        <v>851313.5617</v>
      </c>
      <c r="S18" s="141">
        <f t="shared" si="14"/>
        <v>12400.48623</v>
      </c>
    </row>
    <row r="19">
      <c r="A19" s="138">
        <v>5.0</v>
      </c>
      <c r="B19" s="139">
        <v>51.0</v>
      </c>
      <c r="C19" s="140">
        <f t="shared" si="1"/>
        <v>50</v>
      </c>
      <c r="D19" s="141">
        <f t="shared" si="15"/>
        <v>203314.1408</v>
      </c>
      <c r="E19" s="141">
        <f t="shared" ref="E19:F19" si="20">Q18</f>
        <v>1556735.977</v>
      </c>
      <c r="F19" s="141">
        <f t="shared" si="20"/>
        <v>851313.5617</v>
      </c>
      <c r="G19" s="141">
        <f t="shared" ref="G19:H19" si="21">G18*(1+$B$5)</f>
        <v>112550.881</v>
      </c>
      <c r="H19" s="141">
        <f t="shared" si="21"/>
        <v>5402.442288</v>
      </c>
      <c r="I19" s="141">
        <f t="shared" si="4"/>
        <v>0</v>
      </c>
      <c r="J19" s="141">
        <f t="shared" si="5"/>
        <v>117953.3233</v>
      </c>
      <c r="K19" s="141">
        <f t="shared" si="6"/>
        <v>0</v>
      </c>
      <c r="L19" s="141">
        <f t="shared" si="7"/>
        <v>117953.3233</v>
      </c>
      <c r="M19" s="141">
        <f t="shared" si="8"/>
        <v>0</v>
      </c>
      <c r="N19" s="141">
        <f t="shared" si="9"/>
        <v>0</v>
      </c>
      <c r="O19" s="141">
        <f t="shared" si="10"/>
        <v>88775.25017</v>
      </c>
      <c r="P19" s="141">
        <f t="shared" si="11"/>
        <v>76467.43437</v>
      </c>
      <c r="Q19" s="141">
        <f t="shared" si="12"/>
        <v>1569084.655</v>
      </c>
      <c r="R19" s="141">
        <f t="shared" si="13"/>
        <v>983447.8559</v>
      </c>
      <c r="S19" s="141">
        <f t="shared" si="14"/>
        <v>8132.56563</v>
      </c>
    </row>
    <row r="20">
      <c r="A20" s="138">
        <v>6.0</v>
      </c>
      <c r="B20" s="139">
        <v>52.0</v>
      </c>
      <c r="C20" s="140">
        <f t="shared" si="1"/>
        <v>51</v>
      </c>
      <c r="D20" s="141">
        <f t="shared" si="15"/>
        <v>88775.25017</v>
      </c>
      <c r="E20" s="141">
        <f t="shared" ref="E20:F20" si="22">Q19</f>
        <v>1569084.655</v>
      </c>
      <c r="F20" s="141">
        <f t="shared" si="22"/>
        <v>983447.8559</v>
      </c>
      <c r="G20" s="141">
        <f t="shared" ref="G20:H20" si="23">G19*(1+$B$5)</f>
        <v>115927.4074</v>
      </c>
      <c r="H20" s="141">
        <f t="shared" si="23"/>
        <v>5564.515557</v>
      </c>
      <c r="I20" s="141">
        <f t="shared" si="4"/>
        <v>0</v>
      </c>
      <c r="J20" s="141">
        <f t="shared" si="5"/>
        <v>121491.923</v>
      </c>
      <c r="K20" s="141">
        <f t="shared" si="6"/>
        <v>0</v>
      </c>
      <c r="L20" s="141">
        <f t="shared" si="7"/>
        <v>88775.25017</v>
      </c>
      <c r="M20" s="141">
        <f t="shared" si="8"/>
        <v>32716.67282</v>
      </c>
      <c r="N20" s="141">
        <f t="shared" si="9"/>
        <v>0</v>
      </c>
      <c r="O20" s="141">
        <f t="shared" si="10"/>
        <v>0</v>
      </c>
      <c r="P20" s="141">
        <f t="shared" si="11"/>
        <v>81048.98999</v>
      </c>
      <c r="Q20" s="141">
        <f t="shared" si="12"/>
        <v>1577317.805</v>
      </c>
      <c r="R20" s="141">
        <f t="shared" si="13"/>
        <v>1093686.983</v>
      </c>
      <c r="S20" s="141">
        <f t="shared" si="14"/>
        <v>3551.010007</v>
      </c>
    </row>
    <row r="21">
      <c r="A21" s="138">
        <v>7.0</v>
      </c>
      <c r="B21" s="139">
        <v>53.0</v>
      </c>
      <c r="C21" s="140">
        <f t="shared" si="1"/>
        <v>52</v>
      </c>
      <c r="D21" s="141">
        <f t="shared" si="15"/>
        <v>0</v>
      </c>
      <c r="E21" s="141">
        <f t="shared" ref="E21:F21" si="24">Q20</f>
        <v>1577317.805</v>
      </c>
      <c r="F21" s="141">
        <f t="shared" si="24"/>
        <v>1093686.983</v>
      </c>
      <c r="G21" s="141">
        <f t="shared" ref="G21:H21" si="25">G20*(1+$B$5)</f>
        <v>119405.2297</v>
      </c>
      <c r="H21" s="141">
        <f t="shared" si="25"/>
        <v>5731.451023</v>
      </c>
      <c r="I21" s="141">
        <f t="shared" si="4"/>
        <v>0</v>
      </c>
      <c r="J21" s="141">
        <f t="shared" si="5"/>
        <v>125136.6807</v>
      </c>
      <c r="K21" s="141">
        <f t="shared" si="6"/>
        <v>0</v>
      </c>
      <c r="L21" s="141">
        <f t="shared" si="7"/>
        <v>0</v>
      </c>
      <c r="M21" s="141">
        <f t="shared" si="8"/>
        <v>125136.6807</v>
      </c>
      <c r="N21" s="141">
        <f t="shared" si="9"/>
        <v>0</v>
      </c>
      <c r="O21" s="141">
        <f t="shared" si="10"/>
        <v>0</v>
      </c>
      <c r="P21" s="141">
        <f t="shared" si="11"/>
        <v>84600</v>
      </c>
      <c r="Q21" s="141">
        <f t="shared" si="12"/>
        <v>1582280.873</v>
      </c>
      <c r="R21" s="141">
        <f t="shared" si="13"/>
        <v>1116339.321</v>
      </c>
      <c r="S21" s="141">
        <f t="shared" si="14"/>
        <v>0</v>
      </c>
    </row>
    <row r="22">
      <c r="A22" s="138">
        <v>8.0</v>
      </c>
      <c r="B22" s="139">
        <v>54.0</v>
      </c>
      <c r="C22" s="140">
        <f t="shared" si="1"/>
        <v>53</v>
      </c>
      <c r="D22" s="141">
        <f t="shared" si="15"/>
        <v>0</v>
      </c>
      <c r="E22" s="141">
        <f t="shared" ref="E22:F22" si="26">Q21</f>
        <v>1582280.873</v>
      </c>
      <c r="F22" s="141">
        <f t="shared" si="26"/>
        <v>1116339.321</v>
      </c>
      <c r="G22" s="141">
        <f t="shared" ref="G22:H22" si="27">G21*(1+$B$5)</f>
        <v>122987.3865</v>
      </c>
      <c r="H22" s="141">
        <f t="shared" si="27"/>
        <v>5903.394554</v>
      </c>
      <c r="I22" s="141">
        <f t="shared" si="4"/>
        <v>0</v>
      </c>
      <c r="J22" s="141">
        <f t="shared" si="5"/>
        <v>128890.7811</v>
      </c>
      <c r="K22" s="141">
        <f t="shared" si="6"/>
        <v>0</v>
      </c>
      <c r="L22" s="141">
        <f t="shared" si="7"/>
        <v>0</v>
      </c>
      <c r="M22" s="141">
        <f t="shared" si="8"/>
        <v>128890.7811</v>
      </c>
      <c r="N22" s="141">
        <f t="shared" si="9"/>
        <v>0</v>
      </c>
      <c r="O22" s="141">
        <f t="shared" si="10"/>
        <v>0</v>
      </c>
      <c r="P22" s="141">
        <f t="shared" si="11"/>
        <v>84600</v>
      </c>
      <c r="Q22" s="141">
        <f t="shared" si="12"/>
        <v>1587541.725</v>
      </c>
      <c r="R22" s="141">
        <f t="shared" si="13"/>
        <v>1136371.452</v>
      </c>
      <c r="S22" s="141">
        <f t="shared" si="14"/>
        <v>0</v>
      </c>
    </row>
    <row r="23">
      <c r="A23" s="138">
        <v>9.0</v>
      </c>
      <c r="B23" s="139">
        <v>55.0</v>
      </c>
      <c r="C23" s="140">
        <f t="shared" si="1"/>
        <v>54</v>
      </c>
      <c r="D23" s="141">
        <f t="shared" si="15"/>
        <v>0</v>
      </c>
      <c r="E23" s="141">
        <f t="shared" ref="E23:F23" si="28">Q22</f>
        <v>1587541.725</v>
      </c>
      <c r="F23" s="141">
        <f t="shared" si="28"/>
        <v>1136371.452</v>
      </c>
      <c r="G23" s="141">
        <f t="shared" ref="G23:H23" si="29">G22*(1+$B$5)</f>
        <v>126677.0081</v>
      </c>
      <c r="H23" s="141">
        <f t="shared" si="29"/>
        <v>6080.496391</v>
      </c>
      <c r="I23" s="141">
        <f t="shared" si="4"/>
        <v>0</v>
      </c>
      <c r="J23" s="141">
        <f t="shared" si="5"/>
        <v>132757.5045</v>
      </c>
      <c r="K23" s="141">
        <f t="shared" si="6"/>
        <v>24000</v>
      </c>
      <c r="L23" s="141">
        <f t="shared" si="7"/>
        <v>0</v>
      </c>
      <c r="M23" s="141">
        <f t="shared" si="8"/>
        <v>108757.5045</v>
      </c>
      <c r="N23" s="141">
        <f t="shared" si="9"/>
        <v>0</v>
      </c>
      <c r="O23" s="141">
        <f t="shared" si="10"/>
        <v>0</v>
      </c>
      <c r="P23" s="141">
        <f t="shared" si="11"/>
        <v>60600</v>
      </c>
      <c r="Q23" s="141">
        <f t="shared" si="12"/>
        <v>1618558.229</v>
      </c>
      <c r="R23" s="141">
        <f t="shared" si="13"/>
        <v>1153506.785</v>
      </c>
      <c r="S23" s="141">
        <f t="shared" si="14"/>
        <v>0</v>
      </c>
    </row>
    <row r="24">
      <c r="A24" s="138">
        <v>10.0</v>
      </c>
      <c r="B24" s="139">
        <v>56.0</v>
      </c>
      <c r="C24" s="140">
        <f t="shared" si="1"/>
        <v>55</v>
      </c>
      <c r="D24" s="141">
        <f t="shared" si="15"/>
        <v>0</v>
      </c>
      <c r="E24" s="141">
        <f t="shared" ref="E24:F24" si="30">Q23</f>
        <v>1618558.229</v>
      </c>
      <c r="F24" s="141">
        <f t="shared" si="30"/>
        <v>1153506.785</v>
      </c>
      <c r="G24" s="141">
        <f t="shared" ref="G24:H24" si="31">G23*(1+$B$5)</f>
        <v>130477.3184</v>
      </c>
      <c r="H24" s="141">
        <f t="shared" si="31"/>
        <v>6262.911282</v>
      </c>
      <c r="I24" s="141">
        <f t="shared" si="4"/>
        <v>0</v>
      </c>
      <c r="J24" s="141">
        <f t="shared" si="5"/>
        <v>136740.2297</v>
      </c>
      <c r="K24" s="141">
        <f t="shared" si="6"/>
        <v>24000</v>
      </c>
      <c r="L24" s="141">
        <f t="shared" si="7"/>
        <v>0</v>
      </c>
      <c r="M24" s="141">
        <f t="shared" si="8"/>
        <v>112740.2297</v>
      </c>
      <c r="N24" s="141">
        <f t="shared" si="9"/>
        <v>0</v>
      </c>
      <c r="O24" s="141">
        <f t="shared" si="10"/>
        <v>0</v>
      </c>
      <c r="P24" s="141">
        <f t="shared" si="11"/>
        <v>60600</v>
      </c>
      <c r="Q24" s="141">
        <f t="shared" si="12"/>
        <v>1651435.722</v>
      </c>
      <c r="R24" s="141">
        <f t="shared" si="13"/>
        <v>1167448.548</v>
      </c>
      <c r="S24" s="141">
        <f t="shared" si="14"/>
        <v>0</v>
      </c>
    </row>
    <row r="25">
      <c r="A25" s="138">
        <v>11.0</v>
      </c>
      <c r="B25" s="139">
        <v>57.0</v>
      </c>
      <c r="C25" s="140">
        <f t="shared" si="1"/>
        <v>56</v>
      </c>
      <c r="D25" s="141">
        <f t="shared" si="15"/>
        <v>0</v>
      </c>
      <c r="E25" s="141">
        <f t="shared" ref="E25:F25" si="32">Q24</f>
        <v>1651435.722</v>
      </c>
      <c r="F25" s="141">
        <f t="shared" si="32"/>
        <v>1167448.548</v>
      </c>
      <c r="G25" s="141">
        <f t="shared" ref="G25:H25" si="33">G24*(1+$B$5)</f>
        <v>134391.6379</v>
      </c>
      <c r="H25" s="141">
        <f t="shared" si="33"/>
        <v>6450.798621</v>
      </c>
      <c r="I25" s="141">
        <f t="shared" si="4"/>
        <v>0</v>
      </c>
      <c r="J25" s="141">
        <f t="shared" si="5"/>
        <v>140842.4366</v>
      </c>
      <c r="K25" s="141">
        <f t="shared" si="6"/>
        <v>24000</v>
      </c>
      <c r="L25" s="141">
        <f t="shared" si="7"/>
        <v>0</v>
      </c>
      <c r="M25" s="141">
        <f t="shared" si="8"/>
        <v>116842.4366</v>
      </c>
      <c r="N25" s="141">
        <f t="shared" si="9"/>
        <v>0</v>
      </c>
      <c r="O25" s="141">
        <f t="shared" si="10"/>
        <v>0</v>
      </c>
      <c r="P25" s="141">
        <f t="shared" si="11"/>
        <v>60600</v>
      </c>
      <c r="Q25" s="141">
        <f t="shared" si="12"/>
        <v>1686285.866</v>
      </c>
      <c r="R25" s="141">
        <f t="shared" si="13"/>
        <v>1177878.478</v>
      </c>
      <c r="S25" s="141">
        <f t="shared" si="14"/>
        <v>0</v>
      </c>
    </row>
    <row r="26">
      <c r="A26" s="138">
        <v>12.0</v>
      </c>
      <c r="B26" s="139">
        <v>58.0</v>
      </c>
      <c r="C26" s="140">
        <f t="shared" si="1"/>
        <v>57</v>
      </c>
      <c r="D26" s="141">
        <f t="shared" si="15"/>
        <v>0</v>
      </c>
      <c r="E26" s="141">
        <f t="shared" ref="E26:F26" si="34">Q25</f>
        <v>1686285.866</v>
      </c>
      <c r="F26" s="141">
        <f t="shared" si="34"/>
        <v>1177878.478</v>
      </c>
      <c r="G26" s="141">
        <f t="shared" ref="G26:H26" si="35">G25*(1+$B$5)</f>
        <v>138423.3871</v>
      </c>
      <c r="H26" s="141">
        <f t="shared" si="35"/>
        <v>6644.322579</v>
      </c>
      <c r="I26" s="141">
        <f t="shared" si="4"/>
        <v>0</v>
      </c>
      <c r="J26" s="141">
        <f t="shared" si="5"/>
        <v>145067.7097</v>
      </c>
      <c r="K26" s="141">
        <f t="shared" si="6"/>
        <v>24000</v>
      </c>
      <c r="L26" s="141">
        <f t="shared" si="7"/>
        <v>0</v>
      </c>
      <c r="M26" s="141">
        <f t="shared" si="8"/>
        <v>121067.7097</v>
      </c>
      <c r="N26" s="141">
        <f t="shared" si="9"/>
        <v>0</v>
      </c>
      <c r="O26" s="141">
        <f t="shared" si="10"/>
        <v>0</v>
      </c>
      <c r="P26" s="141">
        <f t="shared" si="11"/>
        <v>60600</v>
      </c>
      <c r="Q26" s="141">
        <f t="shared" si="12"/>
        <v>1723227.018</v>
      </c>
      <c r="R26" s="141">
        <f t="shared" si="13"/>
        <v>1184455.415</v>
      </c>
      <c r="S26" s="141">
        <f t="shared" si="14"/>
        <v>0</v>
      </c>
    </row>
    <row r="27">
      <c r="A27" s="138">
        <v>13.0</v>
      </c>
      <c r="B27" s="139">
        <v>59.0</v>
      </c>
      <c r="C27" s="140">
        <f t="shared" si="1"/>
        <v>58</v>
      </c>
      <c r="D27" s="141">
        <f t="shared" si="15"/>
        <v>0</v>
      </c>
      <c r="E27" s="141">
        <f t="shared" ref="E27:F27" si="36">Q26</f>
        <v>1723227.018</v>
      </c>
      <c r="F27" s="141">
        <f t="shared" si="36"/>
        <v>1184455.415</v>
      </c>
      <c r="G27" s="141">
        <f t="shared" ref="G27:H27" si="37">G26*(1+$B$5)</f>
        <v>142576.0887</v>
      </c>
      <c r="H27" s="141">
        <f t="shared" si="37"/>
        <v>6843.652257</v>
      </c>
      <c r="I27" s="141">
        <f t="shared" si="4"/>
        <v>0</v>
      </c>
      <c r="J27" s="141">
        <f t="shared" si="5"/>
        <v>149419.7409</v>
      </c>
      <c r="K27" s="141">
        <f t="shared" si="6"/>
        <v>24000</v>
      </c>
      <c r="L27" s="141">
        <f t="shared" si="7"/>
        <v>0</v>
      </c>
      <c r="M27" s="141">
        <f t="shared" si="8"/>
        <v>125419.7409</v>
      </c>
      <c r="N27" s="141">
        <f t="shared" si="9"/>
        <v>0</v>
      </c>
      <c r="O27" s="141">
        <f t="shared" si="10"/>
        <v>0</v>
      </c>
      <c r="P27" s="141">
        <f t="shared" si="11"/>
        <v>60600</v>
      </c>
      <c r="Q27" s="141">
        <f t="shared" si="12"/>
        <v>1762384.639</v>
      </c>
      <c r="R27" s="141">
        <f t="shared" si="13"/>
        <v>1186813.814</v>
      </c>
      <c r="S27" s="141">
        <f t="shared" si="14"/>
        <v>0</v>
      </c>
    </row>
    <row r="28">
      <c r="A28" s="138">
        <v>14.0</v>
      </c>
      <c r="B28" s="139">
        <v>60.0</v>
      </c>
      <c r="C28" s="140">
        <f t="shared" si="1"/>
        <v>59</v>
      </c>
      <c r="D28" s="141">
        <f t="shared" si="15"/>
        <v>0</v>
      </c>
      <c r="E28" s="141">
        <f t="shared" ref="E28:F28" si="38">Q27</f>
        <v>1762384.639</v>
      </c>
      <c r="F28" s="141">
        <f t="shared" si="38"/>
        <v>1186813.814</v>
      </c>
      <c r="G28" s="141">
        <f t="shared" ref="G28:H28" si="39">G27*(1+$B$5)</f>
        <v>146853.3713</v>
      </c>
      <c r="H28" s="141">
        <f t="shared" si="39"/>
        <v>7048.961825</v>
      </c>
      <c r="I28" s="141">
        <f t="shared" si="4"/>
        <v>0</v>
      </c>
      <c r="J28" s="141">
        <f t="shared" si="5"/>
        <v>153902.3332</v>
      </c>
      <c r="K28" s="141">
        <f t="shared" si="6"/>
        <v>24000</v>
      </c>
      <c r="L28" s="141">
        <f t="shared" si="7"/>
        <v>0</v>
      </c>
      <c r="M28" s="141">
        <f t="shared" ref="M28:M34" si="42">IF(C28&lt;65, MIN(F28, MAX(0, J28-K28-L28)), 0)</f>
        <v>129902.3332</v>
      </c>
      <c r="N28" s="141">
        <f t="shared" si="9"/>
        <v>0</v>
      </c>
      <c r="O28" s="141">
        <f t="shared" si="10"/>
        <v>0</v>
      </c>
      <c r="P28" s="141">
        <f t="shared" si="11"/>
        <v>60600</v>
      </c>
      <c r="Q28" s="141">
        <f t="shared" si="12"/>
        <v>1803891.717</v>
      </c>
      <c r="R28" s="141">
        <f t="shared" si="13"/>
        <v>1184562.17</v>
      </c>
      <c r="S28" s="141">
        <f t="shared" si="14"/>
        <v>0</v>
      </c>
    </row>
    <row r="29">
      <c r="A29" s="138">
        <v>15.0</v>
      </c>
      <c r="B29" s="139">
        <v>61.0</v>
      </c>
      <c r="C29" s="140">
        <f t="shared" si="1"/>
        <v>60</v>
      </c>
      <c r="D29" s="141">
        <f t="shared" si="15"/>
        <v>0</v>
      </c>
      <c r="E29" s="141">
        <f t="shared" ref="E29:F29" si="40">Q28</f>
        <v>1803891.717</v>
      </c>
      <c r="F29" s="141">
        <f t="shared" si="40"/>
        <v>1184562.17</v>
      </c>
      <c r="G29" s="141">
        <f t="shared" ref="G29:H29" si="41">G28*(1+$B$5)</f>
        <v>151258.9725</v>
      </c>
      <c r="H29" s="141">
        <f t="shared" si="41"/>
        <v>7260.430679</v>
      </c>
      <c r="I29" s="141">
        <f t="shared" si="4"/>
        <v>0</v>
      </c>
      <c r="J29" s="141">
        <f t="shared" si="5"/>
        <v>158519.4032</v>
      </c>
      <c r="K29" s="141">
        <f t="shared" si="6"/>
        <v>24000</v>
      </c>
      <c r="L29" s="141">
        <f t="shared" si="7"/>
        <v>0</v>
      </c>
      <c r="M29" s="141">
        <f t="shared" si="42"/>
        <v>134519.4032</v>
      </c>
      <c r="N29" s="141">
        <f t="shared" ref="N29:N58" si="45">IF(C29&gt;=65, MIN(E29, MAX(0, J29-K29-L29-M29)), 0)</f>
        <v>0</v>
      </c>
      <c r="O29" s="141">
        <f t="shared" si="10"/>
        <v>0</v>
      </c>
      <c r="P29" s="141">
        <f t="shared" si="11"/>
        <v>60600</v>
      </c>
      <c r="Q29" s="141">
        <f t="shared" si="12"/>
        <v>1847889.22</v>
      </c>
      <c r="R29" s="141">
        <f t="shared" si="13"/>
        <v>1177281.333</v>
      </c>
      <c r="S29" s="141">
        <f t="shared" si="14"/>
        <v>0</v>
      </c>
    </row>
    <row r="30">
      <c r="A30" s="138">
        <v>16.0</v>
      </c>
      <c r="B30" s="139">
        <v>62.0</v>
      </c>
      <c r="C30" s="140">
        <f t="shared" si="1"/>
        <v>61</v>
      </c>
      <c r="D30" s="141">
        <f t="shared" si="15"/>
        <v>0</v>
      </c>
      <c r="E30" s="141">
        <f t="shared" ref="E30:F30" si="43">Q29</f>
        <v>1847889.22</v>
      </c>
      <c r="F30" s="141">
        <f t="shared" si="43"/>
        <v>1177281.333</v>
      </c>
      <c r="G30" s="141">
        <f t="shared" ref="G30:H30" si="44">G29*(1+$B$5)</f>
        <v>155796.7417</v>
      </c>
      <c r="H30" s="141">
        <f t="shared" si="44"/>
        <v>7478.2436</v>
      </c>
      <c r="I30" s="141">
        <f t="shared" si="4"/>
        <v>2976</v>
      </c>
      <c r="J30" s="141">
        <f t="shared" si="5"/>
        <v>166250.9853</v>
      </c>
      <c r="K30" s="141">
        <f t="shared" si="6"/>
        <v>54000</v>
      </c>
      <c r="L30" s="141">
        <f t="shared" si="7"/>
        <v>0</v>
      </c>
      <c r="M30" s="141">
        <f t="shared" si="42"/>
        <v>112250.9853</v>
      </c>
      <c r="N30" s="141">
        <f t="shared" si="45"/>
        <v>0</v>
      </c>
      <c r="O30" s="141">
        <f t="shared" si="10"/>
        <v>0</v>
      </c>
      <c r="P30" s="141">
        <f t="shared" si="11"/>
        <v>30600</v>
      </c>
      <c r="Q30" s="141">
        <f t="shared" si="12"/>
        <v>1926326.573</v>
      </c>
      <c r="R30" s="141">
        <f t="shared" si="13"/>
        <v>1161368.168</v>
      </c>
      <c r="S30" s="141">
        <f t="shared" si="14"/>
        <v>0</v>
      </c>
    </row>
    <row r="31">
      <c r="A31" s="138">
        <v>17.0</v>
      </c>
      <c r="B31" s="139">
        <v>63.0</v>
      </c>
      <c r="C31" s="140">
        <f t="shared" si="1"/>
        <v>62</v>
      </c>
      <c r="D31" s="141">
        <f t="shared" si="15"/>
        <v>0</v>
      </c>
      <c r="E31" s="141">
        <f t="shared" ref="E31:F31" si="46">Q30</f>
        <v>1926326.573</v>
      </c>
      <c r="F31" s="141">
        <f t="shared" si="46"/>
        <v>1161368.168</v>
      </c>
      <c r="G31" s="141">
        <f t="shared" ref="G31:H31" si="47">G30*(1+$B$5)</f>
        <v>160470.6439</v>
      </c>
      <c r="H31" s="141">
        <f t="shared" si="47"/>
        <v>7702.590908</v>
      </c>
      <c r="I31" s="141">
        <f t="shared" si="4"/>
        <v>2976</v>
      </c>
      <c r="J31" s="141">
        <f t="shared" si="5"/>
        <v>171149.2348</v>
      </c>
      <c r="K31" s="141">
        <f t="shared" si="6"/>
        <v>54000</v>
      </c>
      <c r="L31" s="141">
        <f t="shared" si="7"/>
        <v>0</v>
      </c>
      <c r="M31" s="141">
        <f t="shared" si="42"/>
        <v>117149.2348</v>
      </c>
      <c r="N31" s="141">
        <f t="shared" si="45"/>
        <v>0</v>
      </c>
      <c r="O31" s="141">
        <f t="shared" si="10"/>
        <v>0</v>
      </c>
      <c r="P31" s="141">
        <f t="shared" si="11"/>
        <v>30600</v>
      </c>
      <c r="Q31" s="141">
        <f t="shared" si="12"/>
        <v>2009470.168</v>
      </c>
      <c r="R31" s="141">
        <f t="shared" si="13"/>
        <v>1139308.07</v>
      </c>
      <c r="S31" s="141">
        <f t="shared" si="14"/>
        <v>0</v>
      </c>
    </row>
    <row r="32">
      <c r="A32" s="138">
        <v>18.0</v>
      </c>
      <c r="B32" s="139">
        <v>64.0</v>
      </c>
      <c r="C32" s="140">
        <f t="shared" si="1"/>
        <v>63</v>
      </c>
      <c r="D32" s="141">
        <f t="shared" si="15"/>
        <v>0</v>
      </c>
      <c r="E32" s="141">
        <f t="shared" ref="E32:F32" si="48">Q31</f>
        <v>2009470.168</v>
      </c>
      <c r="F32" s="141">
        <f t="shared" si="48"/>
        <v>1139308.07</v>
      </c>
      <c r="G32" s="141">
        <f t="shared" ref="G32:H32" si="49">G31*(1+$B$5)</f>
        <v>165284.7632</v>
      </c>
      <c r="H32" s="141">
        <f t="shared" si="49"/>
        <v>7933.668635</v>
      </c>
      <c r="I32" s="141">
        <f t="shared" si="4"/>
        <v>2976</v>
      </c>
      <c r="J32" s="141">
        <f t="shared" si="5"/>
        <v>176194.4319</v>
      </c>
      <c r="K32" s="141">
        <f t="shared" si="6"/>
        <v>54000</v>
      </c>
      <c r="L32" s="141">
        <f t="shared" si="7"/>
        <v>0</v>
      </c>
      <c r="M32" s="141">
        <f t="shared" si="42"/>
        <v>122194.4319</v>
      </c>
      <c r="N32" s="141">
        <f t="shared" si="45"/>
        <v>0</v>
      </c>
      <c r="O32" s="141">
        <f t="shared" si="10"/>
        <v>0</v>
      </c>
      <c r="P32" s="141">
        <f t="shared" si="11"/>
        <v>30600</v>
      </c>
      <c r="Q32" s="141">
        <f t="shared" si="12"/>
        <v>2097602.378</v>
      </c>
      <c r="R32" s="141">
        <f t="shared" si="13"/>
        <v>1110576.456</v>
      </c>
      <c r="S32" s="141">
        <f t="shared" si="14"/>
        <v>0</v>
      </c>
    </row>
    <row r="33">
      <c r="A33" s="138">
        <v>19.0</v>
      </c>
      <c r="B33" s="139">
        <v>65.0</v>
      </c>
      <c r="C33" s="140">
        <f t="shared" si="1"/>
        <v>64</v>
      </c>
      <c r="D33" s="141">
        <f t="shared" si="15"/>
        <v>0</v>
      </c>
      <c r="E33" s="141">
        <f t="shared" ref="E33:F33" si="50">Q32</f>
        <v>2097602.378</v>
      </c>
      <c r="F33" s="141">
        <f t="shared" si="50"/>
        <v>1110576.456</v>
      </c>
      <c r="G33" s="141">
        <f t="shared" ref="G33:H33" si="51">G32*(1+$B$5)</f>
        <v>170243.3061</v>
      </c>
      <c r="H33" s="141">
        <f t="shared" si="51"/>
        <v>8171.678694</v>
      </c>
      <c r="I33" s="141">
        <f t="shared" si="4"/>
        <v>2976</v>
      </c>
      <c r="J33" s="141">
        <f t="shared" si="5"/>
        <v>181390.9848</v>
      </c>
      <c r="K33" s="141">
        <f t="shared" si="6"/>
        <v>54000</v>
      </c>
      <c r="L33" s="141">
        <f t="shared" si="7"/>
        <v>0</v>
      </c>
      <c r="M33" s="141">
        <f t="shared" si="42"/>
        <v>127390.9848</v>
      </c>
      <c r="N33" s="141">
        <f t="shared" si="45"/>
        <v>0</v>
      </c>
      <c r="O33" s="141">
        <f t="shared" si="10"/>
        <v>0</v>
      </c>
      <c r="P33" s="141">
        <f t="shared" si="11"/>
        <v>85000</v>
      </c>
      <c r="Q33" s="141">
        <f t="shared" si="12"/>
        <v>2133358.52</v>
      </c>
      <c r="R33" s="141">
        <f t="shared" si="13"/>
        <v>1132276.599</v>
      </c>
      <c r="S33" s="141">
        <f t="shared" si="14"/>
        <v>0</v>
      </c>
    </row>
    <row r="34">
      <c r="A34" s="138">
        <v>20.0</v>
      </c>
      <c r="B34" s="139">
        <v>66.0</v>
      </c>
      <c r="C34" s="140">
        <f t="shared" si="1"/>
        <v>65</v>
      </c>
      <c r="D34" s="141">
        <f t="shared" si="15"/>
        <v>0</v>
      </c>
      <c r="E34" s="141">
        <f t="shared" ref="E34:F34" si="52">Q33</f>
        <v>2133358.52</v>
      </c>
      <c r="F34" s="141">
        <f t="shared" si="52"/>
        <v>1132276.599</v>
      </c>
      <c r="G34" s="141">
        <f t="shared" ref="G34:H34" si="53">G33*(1+$B$5)</f>
        <v>175350.6053</v>
      </c>
      <c r="H34" s="141">
        <f t="shared" si="53"/>
        <v>8416.829055</v>
      </c>
      <c r="I34" s="141">
        <f t="shared" si="4"/>
        <v>2976</v>
      </c>
      <c r="J34" s="141">
        <f t="shared" si="5"/>
        <v>186743.4344</v>
      </c>
      <c r="K34" s="141">
        <f t="shared" si="6"/>
        <v>54000</v>
      </c>
      <c r="L34" s="141">
        <f t="shared" si="7"/>
        <v>0</v>
      </c>
      <c r="M34" s="141">
        <f t="shared" si="42"/>
        <v>0</v>
      </c>
      <c r="N34" s="141">
        <f t="shared" si="45"/>
        <v>132743.4344</v>
      </c>
      <c r="O34" s="141">
        <f t="shared" si="10"/>
        <v>0</v>
      </c>
      <c r="P34" s="141"/>
      <c r="Q34" s="141">
        <f t="shared" si="12"/>
        <v>2120651.991</v>
      </c>
      <c r="R34" s="141">
        <f t="shared" si="13"/>
        <v>1200213.195</v>
      </c>
      <c r="S34" s="141">
        <f t="shared" si="14"/>
        <v>0</v>
      </c>
    </row>
    <row r="35">
      <c r="A35" s="138">
        <v>21.0</v>
      </c>
      <c r="B35" s="139">
        <v>67.0</v>
      </c>
      <c r="C35" s="140">
        <f t="shared" si="1"/>
        <v>66</v>
      </c>
      <c r="D35" s="141">
        <f t="shared" si="15"/>
        <v>0</v>
      </c>
      <c r="E35" s="141">
        <f t="shared" ref="E35:F35" si="54">Q34</f>
        <v>2120651.991</v>
      </c>
      <c r="F35" s="141">
        <f t="shared" si="54"/>
        <v>1200213.195</v>
      </c>
      <c r="G35" s="141">
        <f t="shared" ref="G35:H35" si="55">G34*(1+$B$5)</f>
        <v>180611.1235</v>
      </c>
      <c r="H35" s="141">
        <f t="shared" si="55"/>
        <v>8669.333926</v>
      </c>
      <c r="I35" s="141">
        <f t="shared" si="4"/>
        <v>2976</v>
      </c>
      <c r="J35" s="141">
        <f t="shared" si="5"/>
        <v>192256.4574</v>
      </c>
      <c r="K35" s="141">
        <f t="shared" si="6"/>
        <v>54000</v>
      </c>
      <c r="L35" s="141">
        <f t="shared" si="7"/>
        <v>0</v>
      </c>
      <c r="M35" s="141">
        <f t="shared" ref="M35:M52" si="58">IF(C35&lt;60, MIN(F35, MAX(0, J35-K35-L35)), 0)</f>
        <v>0</v>
      </c>
      <c r="N35" s="141">
        <f t="shared" si="45"/>
        <v>138256.4574</v>
      </c>
      <c r="O35" s="141">
        <f t="shared" si="10"/>
        <v>0</v>
      </c>
      <c r="P35" s="141"/>
      <c r="Q35" s="141">
        <f t="shared" si="12"/>
        <v>2101339.266</v>
      </c>
      <c r="R35" s="141">
        <f t="shared" si="13"/>
        <v>1272225.987</v>
      </c>
      <c r="S35" s="141">
        <f t="shared" si="14"/>
        <v>0</v>
      </c>
    </row>
    <row r="36">
      <c r="A36" s="138">
        <v>22.0</v>
      </c>
      <c r="B36" s="139">
        <v>68.0</v>
      </c>
      <c r="C36" s="140">
        <f t="shared" si="1"/>
        <v>67</v>
      </c>
      <c r="D36" s="141">
        <f t="shared" si="15"/>
        <v>0</v>
      </c>
      <c r="E36" s="141">
        <f t="shared" ref="E36:F36" si="56">Q35</f>
        <v>2101339.266</v>
      </c>
      <c r="F36" s="141">
        <f t="shared" si="56"/>
        <v>1272225.987</v>
      </c>
      <c r="G36" s="141">
        <f t="shared" ref="G36:H36" si="57">G35*(1+$B$5)</f>
        <v>186029.4572</v>
      </c>
      <c r="H36" s="141">
        <f t="shared" si="57"/>
        <v>8929.413944</v>
      </c>
      <c r="I36" s="141">
        <f t="shared" si="4"/>
        <v>2976</v>
      </c>
      <c r="J36" s="141">
        <f t="shared" si="5"/>
        <v>197934.8711</v>
      </c>
      <c r="K36" s="141">
        <f t="shared" si="6"/>
        <v>54000</v>
      </c>
      <c r="L36" s="141">
        <f t="shared" si="7"/>
        <v>0</v>
      </c>
      <c r="M36" s="141">
        <f t="shared" si="58"/>
        <v>0</v>
      </c>
      <c r="N36" s="141">
        <f t="shared" si="45"/>
        <v>143934.8711</v>
      </c>
      <c r="O36" s="141">
        <f t="shared" si="10"/>
        <v>0</v>
      </c>
      <c r="P36" s="141"/>
      <c r="Q36" s="141">
        <f t="shared" si="12"/>
        <v>2074848.658</v>
      </c>
      <c r="R36" s="141">
        <f t="shared" si="13"/>
        <v>1348559.546</v>
      </c>
      <c r="S36" s="141">
        <f t="shared" si="14"/>
        <v>0</v>
      </c>
    </row>
    <row r="37">
      <c r="A37" s="138">
        <v>23.0</v>
      </c>
      <c r="B37" s="139">
        <v>69.0</v>
      </c>
      <c r="C37" s="140">
        <f t="shared" si="1"/>
        <v>68</v>
      </c>
      <c r="D37" s="141">
        <f t="shared" si="15"/>
        <v>0</v>
      </c>
      <c r="E37" s="141">
        <f t="shared" ref="E37:F37" si="59">Q36</f>
        <v>2074848.658</v>
      </c>
      <c r="F37" s="141">
        <f t="shared" si="59"/>
        <v>1348559.546</v>
      </c>
      <c r="G37" s="141">
        <f t="shared" ref="G37:H37" si="60">G36*(1+$B$5)</f>
        <v>191610.3409</v>
      </c>
      <c r="H37" s="141">
        <f t="shared" si="60"/>
        <v>9197.296363</v>
      </c>
      <c r="I37" s="141">
        <f t="shared" si="4"/>
        <v>2976</v>
      </c>
      <c r="J37" s="141">
        <f t="shared" si="5"/>
        <v>203783.6372</v>
      </c>
      <c r="K37" s="141">
        <f t="shared" si="6"/>
        <v>54000</v>
      </c>
      <c r="L37" s="141">
        <f t="shared" si="7"/>
        <v>0</v>
      </c>
      <c r="M37" s="141">
        <f t="shared" si="58"/>
        <v>0</v>
      </c>
      <c r="N37" s="141">
        <f t="shared" si="45"/>
        <v>149783.6372</v>
      </c>
      <c r="O37" s="141">
        <f t="shared" si="10"/>
        <v>0</v>
      </c>
      <c r="P37" s="141"/>
      <c r="Q37" s="141">
        <f t="shared" si="12"/>
        <v>2040568.923</v>
      </c>
      <c r="R37" s="141">
        <f t="shared" si="13"/>
        <v>1429473.119</v>
      </c>
      <c r="S37" s="141">
        <f t="shared" si="14"/>
        <v>0</v>
      </c>
    </row>
    <row r="38">
      <c r="A38" s="138">
        <v>24.0</v>
      </c>
      <c r="B38" s="139">
        <v>70.0</v>
      </c>
      <c r="C38" s="140">
        <f t="shared" si="1"/>
        <v>69</v>
      </c>
      <c r="D38" s="141">
        <f t="shared" si="15"/>
        <v>0</v>
      </c>
      <c r="E38" s="141">
        <f t="shared" ref="E38:F38" si="61">Q37</f>
        <v>2040568.923</v>
      </c>
      <c r="F38" s="141">
        <f t="shared" si="61"/>
        <v>1429473.119</v>
      </c>
      <c r="G38" s="141">
        <f t="shared" ref="G38:H38" si="62">G37*(1+$B$5)</f>
        <v>197358.6511</v>
      </c>
      <c r="H38" s="141">
        <f t="shared" si="62"/>
        <v>9473.215253</v>
      </c>
      <c r="I38" s="141">
        <f t="shared" si="4"/>
        <v>2976</v>
      </c>
      <c r="J38" s="141">
        <f t="shared" si="5"/>
        <v>209807.8664</v>
      </c>
      <c r="K38" s="141">
        <f t="shared" si="6"/>
        <v>54000</v>
      </c>
      <c r="L38" s="141">
        <f t="shared" si="7"/>
        <v>0</v>
      </c>
      <c r="M38" s="141">
        <f t="shared" si="58"/>
        <v>0</v>
      </c>
      <c r="N38" s="141">
        <f t="shared" si="45"/>
        <v>155807.8664</v>
      </c>
      <c r="O38" s="141">
        <f t="shared" si="10"/>
        <v>0</v>
      </c>
      <c r="P38" s="141"/>
      <c r="Q38" s="141">
        <f t="shared" si="12"/>
        <v>1997846.72</v>
      </c>
      <c r="R38" s="141">
        <f t="shared" si="13"/>
        <v>1515241.506</v>
      </c>
      <c r="S38" s="141">
        <f t="shared" si="14"/>
        <v>0</v>
      </c>
    </row>
    <row r="39">
      <c r="A39" s="138">
        <v>25.0</v>
      </c>
      <c r="B39" s="139">
        <v>71.0</v>
      </c>
      <c r="C39" s="140">
        <f t="shared" si="1"/>
        <v>70</v>
      </c>
      <c r="D39" s="141">
        <f t="shared" si="15"/>
        <v>0</v>
      </c>
      <c r="E39" s="141">
        <f t="shared" ref="E39:F39" si="63">Q38</f>
        <v>1997846.72</v>
      </c>
      <c r="F39" s="141">
        <f t="shared" si="63"/>
        <v>1515241.506</v>
      </c>
      <c r="G39" s="141">
        <f t="shared" ref="G39:H39" si="64">G38*(1+$B$5)</f>
        <v>203279.4106</v>
      </c>
      <c r="H39" s="141">
        <f t="shared" si="64"/>
        <v>9757.411711</v>
      </c>
      <c r="I39" s="141">
        <f t="shared" si="4"/>
        <v>2976</v>
      </c>
      <c r="J39" s="141">
        <f t="shared" si="5"/>
        <v>216012.8224</v>
      </c>
      <c r="K39" s="141">
        <f t="shared" si="6"/>
        <v>54000</v>
      </c>
      <c r="L39" s="141">
        <f t="shared" si="7"/>
        <v>0</v>
      </c>
      <c r="M39" s="141">
        <f t="shared" si="58"/>
        <v>0</v>
      </c>
      <c r="N39" s="141">
        <f t="shared" si="45"/>
        <v>162012.8224</v>
      </c>
      <c r="O39" s="141">
        <f t="shared" si="10"/>
        <v>0</v>
      </c>
      <c r="P39" s="141"/>
      <c r="Q39" s="141">
        <f t="shared" si="12"/>
        <v>1945983.931</v>
      </c>
      <c r="R39" s="141">
        <f t="shared" si="13"/>
        <v>1606155.997</v>
      </c>
      <c r="S39" s="141">
        <f t="shared" si="14"/>
        <v>0</v>
      </c>
    </row>
    <row r="40">
      <c r="A40" s="138">
        <v>26.0</v>
      </c>
      <c r="B40" s="139">
        <v>72.0</v>
      </c>
      <c r="C40" s="140">
        <f t="shared" si="1"/>
        <v>71</v>
      </c>
      <c r="D40" s="141">
        <f t="shared" si="15"/>
        <v>0</v>
      </c>
      <c r="E40" s="141">
        <f t="shared" ref="E40:F40" si="65">Q39</f>
        <v>1945983.931</v>
      </c>
      <c r="F40" s="141">
        <f t="shared" si="65"/>
        <v>1606155.997</v>
      </c>
      <c r="G40" s="141">
        <f t="shared" ref="G40:H40" si="66">G39*(1+$B$5)</f>
        <v>209377.793</v>
      </c>
      <c r="H40" s="141">
        <f t="shared" si="66"/>
        <v>10050.13406</v>
      </c>
      <c r="I40" s="141">
        <f t="shared" si="4"/>
        <v>2976</v>
      </c>
      <c r="J40" s="141">
        <f t="shared" si="5"/>
        <v>222403.927</v>
      </c>
      <c r="K40" s="141">
        <f t="shared" si="6"/>
        <v>54000</v>
      </c>
      <c r="L40" s="141">
        <f t="shared" si="7"/>
        <v>0</v>
      </c>
      <c r="M40" s="141">
        <f t="shared" si="58"/>
        <v>0</v>
      </c>
      <c r="N40" s="141">
        <f t="shared" si="45"/>
        <v>168403.927</v>
      </c>
      <c r="O40" s="141">
        <f t="shared" si="10"/>
        <v>0</v>
      </c>
      <c r="P40" s="141"/>
      <c r="Q40" s="141">
        <f t="shared" si="12"/>
        <v>1884234.804</v>
      </c>
      <c r="R40" s="141">
        <f t="shared" si="13"/>
        <v>1702525.356</v>
      </c>
      <c r="S40" s="141">
        <f t="shared" si="14"/>
        <v>0</v>
      </c>
    </row>
    <row r="41">
      <c r="A41" s="138">
        <v>27.0</v>
      </c>
      <c r="B41" s="139">
        <v>73.0</v>
      </c>
      <c r="C41" s="140">
        <f t="shared" si="1"/>
        <v>72</v>
      </c>
      <c r="D41" s="141">
        <f t="shared" si="15"/>
        <v>0</v>
      </c>
      <c r="E41" s="141">
        <f t="shared" ref="E41:F41" si="67">Q40</f>
        <v>1884234.804</v>
      </c>
      <c r="F41" s="141">
        <f t="shared" si="67"/>
        <v>1702525.356</v>
      </c>
      <c r="G41" s="141">
        <f t="shared" ref="G41:H41" si="68">G40*(1+$B$5)</f>
        <v>215659.1268</v>
      </c>
      <c r="H41" s="141">
        <f t="shared" si="68"/>
        <v>10351.63808</v>
      </c>
      <c r="I41" s="141">
        <f t="shared" si="4"/>
        <v>2976</v>
      </c>
      <c r="J41" s="141">
        <f t="shared" si="5"/>
        <v>228986.7648</v>
      </c>
      <c r="K41" s="141">
        <f t="shared" si="6"/>
        <v>54000</v>
      </c>
      <c r="L41" s="141">
        <f t="shared" si="7"/>
        <v>0</v>
      </c>
      <c r="M41" s="141">
        <f t="shared" si="58"/>
        <v>0</v>
      </c>
      <c r="N41" s="141">
        <f t="shared" si="45"/>
        <v>174986.7648</v>
      </c>
      <c r="O41" s="141">
        <f t="shared" si="10"/>
        <v>0</v>
      </c>
      <c r="P41" s="141"/>
      <c r="Q41" s="141">
        <f t="shared" si="12"/>
        <v>1811802.922</v>
      </c>
      <c r="R41" s="141">
        <f t="shared" si="13"/>
        <v>1804676.878</v>
      </c>
      <c r="S41" s="141">
        <f t="shared" si="14"/>
        <v>0</v>
      </c>
    </row>
    <row r="42">
      <c r="A42" s="138">
        <v>28.0</v>
      </c>
      <c r="B42" s="139">
        <v>74.0</v>
      </c>
      <c r="C42" s="140">
        <f t="shared" si="1"/>
        <v>73</v>
      </c>
      <c r="D42" s="141">
        <f t="shared" si="15"/>
        <v>0</v>
      </c>
      <c r="E42" s="141">
        <f t="shared" ref="E42:F42" si="69">Q41</f>
        <v>1811802.922</v>
      </c>
      <c r="F42" s="141">
        <f t="shared" si="69"/>
        <v>1804676.878</v>
      </c>
      <c r="G42" s="141">
        <f t="shared" ref="G42:H42" si="70">G41*(1+$B$5)</f>
        <v>222128.9006</v>
      </c>
      <c r="H42" s="141">
        <f t="shared" si="70"/>
        <v>10662.18723</v>
      </c>
      <c r="I42" s="141">
        <f t="shared" si="4"/>
        <v>2976</v>
      </c>
      <c r="J42" s="141">
        <f t="shared" si="5"/>
        <v>235767.0878</v>
      </c>
      <c r="K42" s="141">
        <f t="shared" si="6"/>
        <v>54000</v>
      </c>
      <c r="L42" s="141">
        <f t="shared" si="7"/>
        <v>0</v>
      </c>
      <c r="M42" s="141">
        <f t="shared" si="58"/>
        <v>0</v>
      </c>
      <c r="N42" s="141">
        <f t="shared" si="45"/>
        <v>181767.0878</v>
      </c>
      <c r="O42" s="141">
        <f t="shared" si="10"/>
        <v>0</v>
      </c>
      <c r="P42" s="141"/>
      <c r="Q42" s="141">
        <f t="shared" si="12"/>
        <v>1727837.984</v>
      </c>
      <c r="R42" s="141">
        <f t="shared" si="13"/>
        <v>1912957.491</v>
      </c>
      <c r="S42" s="141">
        <f t="shared" si="14"/>
        <v>0</v>
      </c>
    </row>
    <row r="43">
      <c r="A43" s="138">
        <v>29.0</v>
      </c>
      <c r="B43" s="139">
        <v>75.0</v>
      </c>
      <c r="C43" s="140">
        <f t="shared" si="1"/>
        <v>74</v>
      </c>
      <c r="D43" s="141">
        <f t="shared" si="15"/>
        <v>0</v>
      </c>
      <c r="E43" s="141">
        <f t="shared" ref="E43:F43" si="71">Q42</f>
        <v>1727837.984</v>
      </c>
      <c r="F43" s="141">
        <f t="shared" si="71"/>
        <v>1912957.491</v>
      </c>
      <c r="G43" s="141">
        <f t="shared" ref="G43:H43" si="72">G42*(1+$B$5)</f>
        <v>228792.7676</v>
      </c>
      <c r="H43" s="141">
        <f t="shared" si="72"/>
        <v>10982.05284</v>
      </c>
      <c r="I43" s="141">
        <f t="shared" si="4"/>
        <v>2976</v>
      </c>
      <c r="J43" s="141">
        <f t="shared" si="5"/>
        <v>242750.8204</v>
      </c>
      <c r="K43" s="141">
        <f t="shared" si="6"/>
        <v>54000</v>
      </c>
      <c r="L43" s="141">
        <f t="shared" si="7"/>
        <v>0</v>
      </c>
      <c r="M43" s="141">
        <f t="shared" si="58"/>
        <v>0</v>
      </c>
      <c r="N43" s="141">
        <f t="shared" si="45"/>
        <v>188750.8204</v>
      </c>
      <c r="O43" s="141">
        <f t="shared" si="10"/>
        <v>0</v>
      </c>
      <c r="P43" s="141"/>
      <c r="Q43" s="141">
        <f t="shared" si="12"/>
        <v>1631432.393</v>
      </c>
      <c r="R43" s="141">
        <f t="shared" si="13"/>
        <v>2027734.94</v>
      </c>
      <c r="S43" s="141">
        <f t="shared" si="14"/>
        <v>0</v>
      </c>
    </row>
    <row r="44">
      <c r="A44" s="138">
        <v>30.0</v>
      </c>
      <c r="B44" s="139">
        <v>76.0</v>
      </c>
      <c r="C44" s="140">
        <f t="shared" si="1"/>
        <v>75</v>
      </c>
      <c r="D44" s="141">
        <f t="shared" si="15"/>
        <v>0</v>
      </c>
      <c r="E44" s="141">
        <f t="shared" ref="E44:F44" si="73">Q43</f>
        <v>1631432.393</v>
      </c>
      <c r="F44" s="141">
        <f t="shared" si="73"/>
        <v>2027734.94</v>
      </c>
      <c r="G44" s="141">
        <f t="shared" ref="G44:H44" si="74">G43*(1+$B$5)</f>
        <v>235656.5506</v>
      </c>
      <c r="H44" s="141">
        <f t="shared" si="74"/>
        <v>11311.51443</v>
      </c>
      <c r="I44" s="141">
        <f t="shared" si="4"/>
        <v>2976</v>
      </c>
      <c r="J44" s="141">
        <f t="shared" si="5"/>
        <v>249944.065</v>
      </c>
      <c r="K44" s="141">
        <f t="shared" si="6"/>
        <v>54000</v>
      </c>
      <c r="L44" s="141">
        <f t="shared" si="7"/>
        <v>0</v>
      </c>
      <c r="M44" s="141">
        <f t="shared" si="58"/>
        <v>0</v>
      </c>
      <c r="N44" s="141">
        <f t="shared" si="45"/>
        <v>195944.065</v>
      </c>
      <c r="O44" s="141">
        <f t="shared" si="10"/>
        <v>0</v>
      </c>
      <c r="P44" s="141"/>
      <c r="Q44" s="141">
        <f t="shared" si="12"/>
        <v>1521617.628</v>
      </c>
      <c r="R44" s="141">
        <f t="shared" si="13"/>
        <v>2149399.036</v>
      </c>
      <c r="S44" s="141">
        <f t="shared" si="14"/>
        <v>0</v>
      </c>
    </row>
    <row r="45">
      <c r="A45" s="138">
        <v>31.0</v>
      </c>
      <c r="B45" s="139">
        <v>77.0</v>
      </c>
      <c r="C45" s="140">
        <f t="shared" si="1"/>
        <v>76</v>
      </c>
      <c r="D45" s="141">
        <f t="shared" si="15"/>
        <v>0</v>
      </c>
      <c r="E45" s="141">
        <f t="shared" ref="E45:F45" si="75">Q44</f>
        <v>1521617.628</v>
      </c>
      <c r="F45" s="141">
        <f t="shared" si="75"/>
        <v>2149399.036</v>
      </c>
      <c r="G45" s="141">
        <f t="shared" ref="G45:H45" si="76">G44*(1+$B$5)</f>
        <v>242726.2471</v>
      </c>
      <c r="H45" s="141">
        <f t="shared" si="76"/>
        <v>11650.85986</v>
      </c>
      <c r="I45" s="141">
        <f t="shared" si="4"/>
        <v>2976</v>
      </c>
      <c r="J45" s="141">
        <f t="shared" si="5"/>
        <v>257353.107</v>
      </c>
      <c r="K45" s="141">
        <f t="shared" si="6"/>
        <v>54000</v>
      </c>
      <c r="L45" s="141">
        <f t="shared" si="7"/>
        <v>0</v>
      </c>
      <c r="M45" s="141">
        <f t="shared" si="58"/>
        <v>0</v>
      </c>
      <c r="N45" s="141">
        <f t="shared" si="45"/>
        <v>203353.107</v>
      </c>
      <c r="O45" s="141">
        <f t="shared" si="10"/>
        <v>0</v>
      </c>
      <c r="P45" s="141"/>
      <c r="Q45" s="141">
        <f t="shared" si="12"/>
        <v>1397360.392</v>
      </c>
      <c r="R45" s="141">
        <f t="shared" si="13"/>
        <v>2278362.979</v>
      </c>
      <c r="S45" s="141">
        <f t="shared" si="14"/>
        <v>0</v>
      </c>
    </row>
    <row r="46">
      <c r="A46" s="138">
        <v>32.0</v>
      </c>
      <c r="B46" s="139">
        <v>78.0</v>
      </c>
      <c r="C46" s="140">
        <f t="shared" si="1"/>
        <v>77</v>
      </c>
      <c r="D46" s="141">
        <f t="shared" si="15"/>
        <v>0</v>
      </c>
      <c r="E46" s="141">
        <f t="shared" ref="E46:F46" si="77">Q45</f>
        <v>1397360.392</v>
      </c>
      <c r="F46" s="141">
        <f t="shared" si="77"/>
        <v>2278362.979</v>
      </c>
      <c r="G46" s="141">
        <f t="shared" ref="G46:H46" si="78">G45*(1+$B$5)</f>
        <v>250008.0345</v>
      </c>
      <c r="H46" s="141">
        <f t="shared" si="78"/>
        <v>12000.38566</v>
      </c>
      <c r="I46" s="141">
        <f t="shared" si="4"/>
        <v>2976</v>
      </c>
      <c r="J46" s="141">
        <f t="shared" si="5"/>
        <v>264984.4202</v>
      </c>
      <c r="K46" s="141">
        <f t="shared" si="6"/>
        <v>54000</v>
      </c>
      <c r="L46" s="141">
        <f t="shared" si="7"/>
        <v>0</v>
      </c>
      <c r="M46" s="141">
        <f t="shared" si="58"/>
        <v>0</v>
      </c>
      <c r="N46" s="141">
        <f t="shared" si="45"/>
        <v>210984.4202</v>
      </c>
      <c r="O46" s="141">
        <f t="shared" si="10"/>
        <v>0</v>
      </c>
      <c r="P46" s="141"/>
      <c r="Q46" s="141">
        <f t="shared" si="12"/>
        <v>1257558.53</v>
      </c>
      <c r="R46" s="141">
        <f t="shared" si="13"/>
        <v>2415064.757</v>
      </c>
      <c r="S46" s="141">
        <f t="shared" si="14"/>
        <v>0</v>
      </c>
    </row>
    <row r="47">
      <c r="A47" s="138">
        <v>33.0</v>
      </c>
      <c r="B47" s="139">
        <v>79.0</v>
      </c>
      <c r="C47" s="140">
        <f t="shared" si="1"/>
        <v>78</v>
      </c>
      <c r="D47" s="141">
        <f t="shared" si="15"/>
        <v>0</v>
      </c>
      <c r="E47" s="141">
        <f t="shared" ref="E47:F47" si="79">Q46</f>
        <v>1257558.53</v>
      </c>
      <c r="F47" s="141">
        <f t="shared" si="79"/>
        <v>2415064.757</v>
      </c>
      <c r="G47" s="141">
        <f t="shared" ref="G47:H47" si="80">G46*(1+$B$5)</f>
        <v>257508.2756</v>
      </c>
      <c r="H47" s="141">
        <f t="shared" si="80"/>
        <v>12360.39723</v>
      </c>
      <c r="I47" s="141">
        <f t="shared" si="4"/>
        <v>2976</v>
      </c>
      <c r="J47" s="141">
        <f t="shared" si="5"/>
        <v>272844.6728</v>
      </c>
      <c r="K47" s="141">
        <f t="shared" si="6"/>
        <v>54000</v>
      </c>
      <c r="L47" s="141">
        <f t="shared" si="7"/>
        <v>0</v>
      </c>
      <c r="M47" s="141">
        <f t="shared" si="58"/>
        <v>0</v>
      </c>
      <c r="N47" s="141">
        <f t="shared" si="45"/>
        <v>218844.6728</v>
      </c>
      <c r="O47" s="141">
        <f t="shared" si="10"/>
        <v>0</v>
      </c>
      <c r="P47" s="141"/>
      <c r="Q47" s="141">
        <f t="shared" si="12"/>
        <v>1101036.689</v>
      </c>
      <c r="R47" s="141">
        <f t="shared" si="13"/>
        <v>2559968.643</v>
      </c>
      <c r="S47" s="141">
        <f t="shared" si="14"/>
        <v>0</v>
      </c>
    </row>
    <row r="48">
      <c r="A48" s="138">
        <v>34.0</v>
      </c>
      <c r="B48" s="139">
        <v>80.0</v>
      </c>
      <c r="C48" s="140">
        <f t="shared" si="1"/>
        <v>79</v>
      </c>
      <c r="D48" s="141">
        <f t="shared" si="15"/>
        <v>0</v>
      </c>
      <c r="E48" s="141">
        <f t="shared" ref="E48:F48" si="81">Q47</f>
        <v>1101036.689</v>
      </c>
      <c r="F48" s="141">
        <f t="shared" si="81"/>
        <v>2559968.643</v>
      </c>
      <c r="G48" s="141">
        <f t="shared" ref="G48:H48" si="82">G47*(1+$B$5)</f>
        <v>265233.5238</v>
      </c>
      <c r="H48" s="141">
        <f t="shared" si="82"/>
        <v>12731.20914</v>
      </c>
      <c r="I48" s="141">
        <f t="shared" si="4"/>
        <v>2976</v>
      </c>
      <c r="J48" s="141">
        <f t="shared" si="5"/>
        <v>280940.733</v>
      </c>
      <c r="K48" s="141">
        <f t="shared" si="6"/>
        <v>54000</v>
      </c>
      <c r="L48" s="141">
        <f t="shared" si="7"/>
        <v>0</v>
      </c>
      <c r="M48" s="141">
        <f t="shared" si="58"/>
        <v>0</v>
      </c>
      <c r="N48" s="141">
        <f t="shared" si="45"/>
        <v>226940.733</v>
      </c>
      <c r="O48" s="141">
        <f t="shared" si="10"/>
        <v>0</v>
      </c>
      <c r="P48" s="141"/>
      <c r="Q48" s="141">
        <f t="shared" si="12"/>
        <v>926541.7135</v>
      </c>
      <c r="R48" s="141">
        <f t="shared" si="13"/>
        <v>2713566.761</v>
      </c>
      <c r="S48" s="141">
        <f t="shared" si="14"/>
        <v>0</v>
      </c>
    </row>
    <row r="49">
      <c r="A49" s="138">
        <v>35.0</v>
      </c>
      <c r="B49" s="139">
        <v>81.0</v>
      </c>
      <c r="C49" s="140">
        <f t="shared" si="1"/>
        <v>80</v>
      </c>
      <c r="D49" s="141">
        <f t="shared" si="15"/>
        <v>0</v>
      </c>
      <c r="E49" s="141">
        <f t="shared" ref="E49:F49" si="83">Q48</f>
        <v>926541.7135</v>
      </c>
      <c r="F49" s="141">
        <f t="shared" si="83"/>
        <v>2713566.761</v>
      </c>
      <c r="G49" s="141">
        <f t="shared" ref="G49:H49" si="84">G48*(1+$B$5)</f>
        <v>273190.5296</v>
      </c>
      <c r="H49" s="141">
        <f t="shared" si="84"/>
        <v>13113.14542</v>
      </c>
      <c r="I49" s="141">
        <f t="shared" si="4"/>
        <v>2976</v>
      </c>
      <c r="J49" s="141">
        <f t="shared" si="5"/>
        <v>289279.675</v>
      </c>
      <c r="K49" s="141">
        <f t="shared" si="6"/>
        <v>54000</v>
      </c>
      <c r="L49" s="141">
        <f t="shared" si="7"/>
        <v>0</v>
      </c>
      <c r="M49" s="141">
        <f t="shared" si="58"/>
        <v>0</v>
      </c>
      <c r="N49" s="141">
        <f t="shared" si="45"/>
        <v>235279.675</v>
      </c>
      <c r="O49" s="141">
        <f t="shared" si="10"/>
        <v>0</v>
      </c>
      <c r="P49" s="141"/>
      <c r="Q49" s="141">
        <f t="shared" si="12"/>
        <v>732737.7609</v>
      </c>
      <c r="R49" s="141">
        <f t="shared" si="13"/>
        <v>2876380.767</v>
      </c>
      <c r="S49" s="141">
        <f t="shared" si="14"/>
        <v>0</v>
      </c>
    </row>
    <row r="50">
      <c r="A50" s="138">
        <v>36.0</v>
      </c>
      <c r="B50" s="139">
        <v>82.0</v>
      </c>
      <c r="C50" s="140">
        <f t="shared" si="1"/>
        <v>81</v>
      </c>
      <c r="D50" s="141">
        <f t="shared" si="15"/>
        <v>0</v>
      </c>
      <c r="E50" s="141">
        <f t="shared" ref="E50:F50" si="85">Q49</f>
        <v>732737.7609</v>
      </c>
      <c r="F50" s="141">
        <f t="shared" si="85"/>
        <v>2876380.767</v>
      </c>
      <c r="G50" s="141">
        <f t="shared" ref="G50:H50" si="86">G49*(1+$B$5)</f>
        <v>281386.2454</v>
      </c>
      <c r="H50" s="141">
        <f t="shared" si="86"/>
        <v>13506.53978</v>
      </c>
      <c r="I50" s="141">
        <f t="shared" si="4"/>
        <v>2976</v>
      </c>
      <c r="J50" s="141">
        <f t="shared" si="5"/>
        <v>297868.7852</v>
      </c>
      <c r="K50" s="141">
        <f t="shared" si="6"/>
        <v>54000</v>
      </c>
      <c r="L50" s="141">
        <f t="shared" si="7"/>
        <v>0</v>
      </c>
      <c r="M50" s="141">
        <f t="shared" si="58"/>
        <v>0</v>
      </c>
      <c r="N50" s="141">
        <f t="shared" si="45"/>
        <v>243868.7852</v>
      </c>
      <c r="O50" s="141">
        <f t="shared" si="10"/>
        <v>0</v>
      </c>
      <c r="P50" s="141"/>
      <c r="Q50" s="141">
        <f t="shared" si="12"/>
        <v>518201.1142</v>
      </c>
      <c r="R50" s="141">
        <f t="shared" si="13"/>
        <v>3048963.613</v>
      </c>
      <c r="S50" s="141">
        <f t="shared" si="14"/>
        <v>0</v>
      </c>
    </row>
    <row r="51">
      <c r="A51" s="138">
        <v>37.0</v>
      </c>
      <c r="B51" s="139">
        <v>83.0</v>
      </c>
      <c r="C51" s="140">
        <f t="shared" si="1"/>
        <v>82</v>
      </c>
      <c r="D51" s="141">
        <f t="shared" si="15"/>
        <v>0</v>
      </c>
      <c r="E51" s="141">
        <f t="shared" ref="E51:F51" si="87">Q50</f>
        <v>518201.1142</v>
      </c>
      <c r="F51" s="141">
        <f t="shared" si="87"/>
        <v>3048963.613</v>
      </c>
      <c r="G51" s="141">
        <f t="shared" ref="G51:H51" si="88">G50*(1+$B$5)</f>
        <v>289827.8328</v>
      </c>
      <c r="H51" s="141">
        <f t="shared" si="88"/>
        <v>13911.73597</v>
      </c>
      <c r="I51" s="141">
        <f t="shared" si="4"/>
        <v>2976</v>
      </c>
      <c r="J51" s="141">
        <f t="shared" si="5"/>
        <v>306715.5688</v>
      </c>
      <c r="K51" s="141">
        <f t="shared" si="6"/>
        <v>54000</v>
      </c>
      <c r="L51" s="141">
        <f t="shared" si="7"/>
        <v>0</v>
      </c>
      <c r="M51" s="141">
        <f t="shared" si="58"/>
        <v>0</v>
      </c>
      <c r="N51" s="141">
        <f t="shared" si="45"/>
        <v>252715.5688</v>
      </c>
      <c r="O51" s="141">
        <f t="shared" si="10"/>
        <v>0</v>
      </c>
      <c r="P51" s="141"/>
      <c r="Q51" s="141">
        <f t="shared" si="12"/>
        <v>281414.6781</v>
      </c>
      <c r="R51" s="141">
        <f t="shared" si="13"/>
        <v>3231901.43</v>
      </c>
      <c r="S51" s="141">
        <f t="shared" si="14"/>
        <v>0</v>
      </c>
    </row>
    <row r="52">
      <c r="A52" s="138">
        <v>38.0</v>
      </c>
      <c r="B52" s="139">
        <v>84.0</v>
      </c>
      <c r="C52" s="140">
        <f t="shared" si="1"/>
        <v>83</v>
      </c>
      <c r="D52" s="141">
        <f t="shared" si="15"/>
        <v>0</v>
      </c>
      <c r="E52" s="141">
        <f t="shared" ref="E52:F52" si="89">Q51</f>
        <v>281414.6781</v>
      </c>
      <c r="F52" s="141">
        <f t="shared" si="89"/>
        <v>3231901.43</v>
      </c>
      <c r="G52" s="141">
        <f t="shared" ref="G52:H52" si="90">G51*(1+$B$5)</f>
        <v>298522.6678</v>
      </c>
      <c r="H52" s="141">
        <f t="shared" si="90"/>
        <v>14329.08805</v>
      </c>
      <c r="I52" s="141">
        <f t="shared" si="4"/>
        <v>2976</v>
      </c>
      <c r="J52" s="141">
        <f t="shared" si="5"/>
        <v>315827.7558</v>
      </c>
      <c r="K52" s="141">
        <f t="shared" si="6"/>
        <v>54000</v>
      </c>
      <c r="L52" s="141">
        <f t="shared" si="7"/>
        <v>0</v>
      </c>
      <c r="M52" s="141">
        <f t="shared" si="58"/>
        <v>0</v>
      </c>
      <c r="N52" s="141">
        <f t="shared" si="45"/>
        <v>261827.7558</v>
      </c>
      <c r="O52" s="141">
        <f t="shared" si="10"/>
        <v>0</v>
      </c>
      <c r="P52" s="141"/>
      <c r="Q52" s="141">
        <f t="shared" si="12"/>
        <v>20762.13764</v>
      </c>
      <c r="R52" s="141">
        <f t="shared" si="13"/>
        <v>3425815.516</v>
      </c>
      <c r="S52" s="141">
        <f t="shared" si="14"/>
        <v>0</v>
      </c>
    </row>
    <row r="53">
      <c r="A53" s="138">
        <v>39.0</v>
      </c>
      <c r="B53" s="139">
        <v>85.0</v>
      </c>
      <c r="C53" s="140">
        <f t="shared" si="1"/>
        <v>84</v>
      </c>
      <c r="D53" s="141">
        <f t="shared" si="15"/>
        <v>0</v>
      </c>
      <c r="E53" s="141">
        <f t="shared" ref="E53:F53" si="91">Q52</f>
        <v>20762.13764</v>
      </c>
      <c r="F53" s="141">
        <f t="shared" si="91"/>
        <v>3425815.516</v>
      </c>
      <c r="G53" s="141">
        <f t="shared" ref="G53:H53" si="92">G52*(1+$B$5)</f>
        <v>307478.3478</v>
      </c>
      <c r="H53" s="141">
        <f t="shared" si="92"/>
        <v>14758.9607</v>
      </c>
      <c r="I53" s="141">
        <f t="shared" si="4"/>
        <v>2976</v>
      </c>
      <c r="J53" s="141">
        <f t="shared" si="5"/>
        <v>325213.3085</v>
      </c>
      <c r="K53" s="141">
        <f t="shared" si="6"/>
        <v>54000</v>
      </c>
      <c r="L53" s="141">
        <f t="shared" si="7"/>
        <v>0</v>
      </c>
      <c r="M53" s="141">
        <f t="shared" ref="M53:M58" si="95">IF(C53&gt;=84, MIN(F53, MAX(0, J53-K53-L53)), 0)</f>
        <v>271213.3085</v>
      </c>
      <c r="N53" s="141">
        <f t="shared" si="45"/>
        <v>0</v>
      </c>
      <c r="O53" s="141">
        <f t="shared" si="10"/>
        <v>0</v>
      </c>
      <c r="P53" s="141"/>
      <c r="Q53" s="141">
        <f t="shared" si="12"/>
        <v>22007.8659</v>
      </c>
      <c r="R53" s="141">
        <f t="shared" si="13"/>
        <v>3343878.339</v>
      </c>
      <c r="S53" s="141">
        <f t="shared" si="14"/>
        <v>0</v>
      </c>
    </row>
    <row r="54">
      <c r="A54" s="138">
        <v>40.0</v>
      </c>
      <c r="B54" s="139">
        <v>86.0</v>
      </c>
      <c r="C54" s="140">
        <f t="shared" si="1"/>
        <v>85</v>
      </c>
      <c r="D54" s="141">
        <f t="shared" si="15"/>
        <v>0</v>
      </c>
      <c r="E54" s="141">
        <f t="shared" ref="E54:F54" si="93">Q53</f>
        <v>22007.8659</v>
      </c>
      <c r="F54" s="141">
        <f t="shared" si="93"/>
        <v>3343878.339</v>
      </c>
      <c r="G54" s="141">
        <f t="shared" ref="G54:H54" si="94">G53*(1+$B$5)</f>
        <v>316702.6983</v>
      </c>
      <c r="H54" s="141">
        <f t="shared" si="94"/>
        <v>15201.72952</v>
      </c>
      <c r="I54" s="141">
        <f t="shared" si="4"/>
        <v>2976</v>
      </c>
      <c r="J54" s="141">
        <f t="shared" si="5"/>
        <v>334880.4278</v>
      </c>
      <c r="K54" s="141">
        <f t="shared" si="6"/>
        <v>54000</v>
      </c>
      <c r="L54" s="141">
        <f t="shared" si="7"/>
        <v>0</v>
      </c>
      <c r="M54" s="141">
        <f t="shared" si="95"/>
        <v>280880.4278</v>
      </c>
      <c r="N54" s="141">
        <f t="shared" si="45"/>
        <v>0</v>
      </c>
      <c r="O54" s="141">
        <f t="shared" si="10"/>
        <v>0</v>
      </c>
      <c r="P54" s="141"/>
      <c r="Q54" s="141">
        <f t="shared" si="12"/>
        <v>23328.33786</v>
      </c>
      <c r="R54" s="141">
        <f t="shared" si="13"/>
        <v>3246777.786</v>
      </c>
      <c r="S54" s="141">
        <f t="shared" si="14"/>
        <v>0</v>
      </c>
    </row>
    <row r="55">
      <c r="A55" s="138">
        <v>41.0</v>
      </c>
      <c r="B55" s="139">
        <v>87.0</v>
      </c>
      <c r="C55" s="140">
        <f t="shared" si="1"/>
        <v>86</v>
      </c>
      <c r="D55" s="141">
        <f t="shared" si="15"/>
        <v>0</v>
      </c>
      <c r="E55" s="141">
        <f t="shared" ref="E55:F55" si="96">Q54</f>
        <v>23328.33786</v>
      </c>
      <c r="F55" s="141">
        <f t="shared" si="96"/>
        <v>3246777.786</v>
      </c>
      <c r="G55" s="141">
        <f t="shared" ref="G55:H55" si="97">G54*(1+$B$5)</f>
        <v>326203.7792</v>
      </c>
      <c r="H55" s="141">
        <f t="shared" si="97"/>
        <v>15657.7814</v>
      </c>
      <c r="I55" s="141">
        <f t="shared" si="4"/>
        <v>2976</v>
      </c>
      <c r="J55" s="141">
        <f t="shared" si="5"/>
        <v>344837.5606</v>
      </c>
      <c r="K55" s="141">
        <f t="shared" si="6"/>
        <v>54000</v>
      </c>
      <c r="L55" s="141">
        <f t="shared" si="7"/>
        <v>0</v>
      </c>
      <c r="M55" s="141">
        <f t="shared" si="95"/>
        <v>290837.5606</v>
      </c>
      <c r="N55" s="141">
        <f t="shared" si="45"/>
        <v>0</v>
      </c>
      <c r="O55" s="141">
        <f t="shared" si="10"/>
        <v>0</v>
      </c>
      <c r="P55" s="141"/>
      <c r="Q55" s="141">
        <f t="shared" si="12"/>
        <v>24728.03813</v>
      </c>
      <c r="R55" s="141">
        <f t="shared" si="13"/>
        <v>3133296.639</v>
      </c>
      <c r="S55" s="141">
        <f t="shared" si="14"/>
        <v>0</v>
      </c>
    </row>
    <row r="56">
      <c r="A56" s="138">
        <v>42.0</v>
      </c>
      <c r="B56" s="139">
        <v>88.0</v>
      </c>
      <c r="C56" s="140">
        <f t="shared" si="1"/>
        <v>87</v>
      </c>
      <c r="D56" s="141">
        <f t="shared" si="15"/>
        <v>0</v>
      </c>
      <c r="E56" s="141">
        <f t="shared" ref="E56:F56" si="98">Q55</f>
        <v>24728.03813</v>
      </c>
      <c r="F56" s="141">
        <f t="shared" si="98"/>
        <v>3133296.639</v>
      </c>
      <c r="G56" s="141">
        <f t="shared" ref="G56:H56" si="99">G55*(1+$B$5)</f>
        <v>335989.8926</v>
      </c>
      <c r="H56" s="141">
        <f t="shared" si="99"/>
        <v>16127.51484</v>
      </c>
      <c r="I56" s="141">
        <f t="shared" si="4"/>
        <v>2976</v>
      </c>
      <c r="J56" s="141">
        <f t="shared" si="5"/>
        <v>355093.4074</v>
      </c>
      <c r="K56" s="141">
        <f t="shared" si="6"/>
        <v>54000</v>
      </c>
      <c r="L56" s="141">
        <f t="shared" si="7"/>
        <v>0</v>
      </c>
      <c r="M56" s="141">
        <f t="shared" si="95"/>
        <v>301093.4074</v>
      </c>
      <c r="N56" s="141">
        <f t="shared" si="45"/>
        <v>0</v>
      </c>
      <c r="O56" s="141">
        <f t="shared" si="10"/>
        <v>0</v>
      </c>
      <c r="P56" s="141"/>
      <c r="Q56" s="141">
        <f t="shared" si="12"/>
        <v>26211.72042</v>
      </c>
      <c r="R56" s="141">
        <f t="shared" si="13"/>
        <v>3002135.426</v>
      </c>
      <c r="S56" s="141">
        <f t="shared" si="14"/>
        <v>0</v>
      </c>
    </row>
    <row r="57">
      <c r="A57" s="138">
        <v>43.0</v>
      </c>
      <c r="B57" s="139">
        <v>89.0</v>
      </c>
      <c r="C57" s="140">
        <f t="shared" si="1"/>
        <v>88</v>
      </c>
      <c r="D57" s="141">
        <f t="shared" si="15"/>
        <v>0</v>
      </c>
      <c r="E57" s="141">
        <f t="shared" ref="E57:F57" si="100">Q56</f>
        <v>26211.72042</v>
      </c>
      <c r="F57" s="141">
        <f t="shared" si="100"/>
        <v>3002135.426</v>
      </c>
      <c r="G57" s="141">
        <f t="shared" ref="G57:H57" si="101">G56*(1+$B$5)</f>
        <v>346069.5894</v>
      </c>
      <c r="H57" s="141">
        <f t="shared" si="101"/>
        <v>16611.34029</v>
      </c>
      <c r="I57" s="141">
        <f t="shared" si="4"/>
        <v>2976</v>
      </c>
      <c r="J57" s="141">
        <f t="shared" si="5"/>
        <v>365656.9296</v>
      </c>
      <c r="K57" s="141">
        <f t="shared" si="6"/>
        <v>54000</v>
      </c>
      <c r="L57" s="141">
        <f t="shared" si="7"/>
        <v>0</v>
      </c>
      <c r="M57" s="141">
        <f t="shared" si="95"/>
        <v>311656.9296</v>
      </c>
      <c r="N57" s="141">
        <f t="shared" si="45"/>
        <v>0</v>
      </c>
      <c r="O57" s="141">
        <f t="shared" si="10"/>
        <v>0</v>
      </c>
      <c r="P57" s="141"/>
      <c r="Q57" s="141">
        <f t="shared" si="12"/>
        <v>27784.42364</v>
      </c>
      <c r="R57" s="141">
        <f t="shared" si="13"/>
        <v>2851907.206</v>
      </c>
      <c r="S57" s="141">
        <f t="shared" si="14"/>
        <v>0</v>
      </c>
    </row>
    <row r="58">
      <c r="A58" s="138">
        <v>44.0</v>
      </c>
      <c r="B58" s="139">
        <v>90.0</v>
      </c>
      <c r="C58" s="140">
        <f t="shared" si="1"/>
        <v>89</v>
      </c>
      <c r="D58" s="141">
        <f t="shared" si="15"/>
        <v>0</v>
      </c>
      <c r="E58" s="141">
        <f t="shared" ref="E58:F58" si="102">Q57</f>
        <v>27784.42364</v>
      </c>
      <c r="F58" s="141">
        <f t="shared" si="102"/>
        <v>2851907.206</v>
      </c>
      <c r="G58" s="141">
        <f t="shared" ref="G58:H58" si="103">G57*(1+$B$5)</f>
        <v>356451.677</v>
      </c>
      <c r="H58" s="141">
        <f t="shared" si="103"/>
        <v>17109.6805</v>
      </c>
      <c r="I58" s="141">
        <f t="shared" si="4"/>
        <v>2976</v>
      </c>
      <c r="J58" s="141">
        <f t="shared" si="5"/>
        <v>376537.3575</v>
      </c>
      <c r="K58" s="141">
        <f t="shared" si="6"/>
        <v>54000</v>
      </c>
      <c r="L58" s="141">
        <f t="shared" si="7"/>
        <v>0</v>
      </c>
      <c r="M58" s="141">
        <f t="shared" si="95"/>
        <v>322537.3575</v>
      </c>
      <c r="N58" s="141">
        <f t="shared" si="45"/>
        <v>0</v>
      </c>
      <c r="O58" s="141">
        <f t="shared" si="10"/>
        <v>0</v>
      </c>
      <c r="P58" s="141"/>
      <c r="Q58" s="141">
        <f t="shared" si="12"/>
        <v>29451.48906</v>
      </c>
      <c r="R58" s="141">
        <f t="shared" si="13"/>
        <v>2681132.039</v>
      </c>
      <c r="S58" s="141">
        <f t="shared" si="14"/>
        <v>0</v>
      </c>
    </row>
  </sheetData>
  <customSheetViews>
    <customSheetView guid="{826A49BF-68CC-443E-84AC-030E4F0B060F}" filter="1" showAutoFilter="1">
      <autoFilter ref="$A$14:$XFD$58"/>
    </customSheetView>
  </customSheetView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26" width="10.71"/>
  </cols>
  <sheetData>
    <row r="3">
      <c r="A3" s="59" t="s">
        <v>118</v>
      </c>
    </row>
    <row r="5">
      <c r="A5" s="59" t="s">
        <v>119</v>
      </c>
    </row>
    <row r="6">
      <c r="A6" s="59" t="s">
        <v>120</v>
      </c>
    </row>
    <row r="7">
      <c r="A7" s="59" t="s">
        <v>121</v>
      </c>
    </row>
    <row r="8">
      <c r="A8" s="59" t="s">
        <v>122</v>
      </c>
    </row>
    <row r="9">
      <c r="A9" s="59" t="s">
        <v>123</v>
      </c>
    </row>
    <row r="10">
      <c r="A10" s="59" t="s">
        <v>124</v>
      </c>
    </row>
    <row r="11">
      <c r="A11" s="59" t="s">
        <v>125</v>
      </c>
    </row>
    <row r="13">
      <c r="A13" s="59" t="s">
        <v>126</v>
      </c>
    </row>
    <row r="14">
      <c r="A14" s="59" t="s">
        <v>127</v>
      </c>
    </row>
    <row r="15">
      <c r="A15" s="59" t="s">
        <v>128</v>
      </c>
    </row>
    <row r="17">
      <c r="A17" s="59" t="s">
        <v>129</v>
      </c>
    </row>
    <row r="18">
      <c r="A18" s="59" t="s">
        <v>130</v>
      </c>
    </row>
    <row r="19">
      <c r="A19" s="59" t="s">
        <v>131</v>
      </c>
    </row>
    <row r="20">
      <c r="A20" s="59" t="s">
        <v>132</v>
      </c>
    </row>
    <row r="21">
      <c r="A21" s="59" t="s">
        <v>133</v>
      </c>
    </row>
    <row r="22"/>
    <row r="23">
      <c r="A23" s="59" t="s">
        <v>134</v>
      </c>
    </row>
    <row r="24"/>
    <row r="25"/>
    <row r="26"/>
    <row r="27"/>
    <row r="28"/>
    <row r="29"/>
    <row r="30">
      <c r="A30" s="59" t="s">
        <v>135</v>
      </c>
    </row>
    <row r="31">
      <c r="A31" s="59" t="s">
        <v>136</v>
      </c>
    </row>
    <row r="32">
      <c r="A32" s="59" t="s">
        <v>137</v>
      </c>
    </row>
    <row r="33">
      <c r="A33" s="59" t="s">
        <v>138</v>
      </c>
    </row>
    <row r="34">
      <c r="A34" s="59" t="s">
        <v>139</v>
      </c>
    </row>
    <row r="35">
      <c r="A35" s="59" t="s">
        <v>140</v>
      </c>
    </row>
    <row r="36">
      <c r="A36" s="59" t="s">
        <v>141</v>
      </c>
    </row>
    <row r="37">
      <c r="A37" s="59" t="s">
        <v>142</v>
      </c>
    </row>
    <row r="38">
      <c r="A38" s="59" t="s">
        <v>143</v>
      </c>
    </row>
    <row r="39">
      <c r="A39" s="59" t="s">
        <v>144</v>
      </c>
    </row>
    <row r="40">
      <c r="A40" s="59" t="s">
        <v>145</v>
      </c>
    </row>
    <row r="41">
      <c r="A41" s="59" t="s">
        <v>146</v>
      </c>
    </row>
    <row r="42">
      <c r="A42" s="59" t="s">
        <v>147</v>
      </c>
    </row>
    <row r="43">
      <c r="A43" s="59" t="s">
        <v>148</v>
      </c>
    </row>
    <row r="44">
      <c r="A44" s="59" t="s">
        <v>149</v>
      </c>
    </row>
    <row r="45"/>
    <row r="46">
      <c r="A46" s="59" t="s">
        <v>150</v>
      </c>
    </row>
    <row r="47">
      <c r="A47" s="59" t="s">
        <v>151</v>
      </c>
    </row>
    <row r="48">
      <c r="A48" s="59" t="s">
        <v>152</v>
      </c>
    </row>
    <row r="49">
      <c r="A49" s="59" t="s">
        <v>153</v>
      </c>
    </row>
    <row r="50"/>
    <row r="51">
      <c r="A51" s="59" t="s">
        <v>154</v>
      </c>
    </row>
    <row r="52"/>
    <row r="53"/>
    <row r="54"/>
    <row r="55">
      <c r="A55" s="59" t="s">
        <v>155</v>
      </c>
    </row>
    <row r="56"/>
    <row r="57">
      <c r="A57" s="59" t="s">
        <v>156</v>
      </c>
    </row>
    <row r="58">
      <c r="A58" s="59" t="s">
        <v>157</v>
      </c>
    </row>
    <row r="59">
      <c r="A59" s="59" t="s">
        <v>158</v>
      </c>
    </row>
    <row r="60">
      <c r="A60" s="59" t="s">
        <v>159</v>
      </c>
    </row>
    <row r="61"/>
    <row r="62">
      <c r="A62" s="59" t="s">
        <v>160</v>
      </c>
    </row>
    <row r="63">
      <c r="A63" s="59" t="s">
        <v>161</v>
      </c>
    </row>
    <row r="64">
      <c r="A64" s="59" t="str">
        <f>ARRAY_CONSTRAIN(ARRAYFORMULA(- Model estimated taxes conservatively based on standard deductions for Married Filing Jointly.), 1, 1)</f>
        <v>#ERROR!</v>
      </c>
    </row>
    <row r="65"/>
    <row r="66">
      <c r="A66" s="59" t="s">
        <v>162</v>
      </c>
    </row>
    <row r="67"/>
    <row r="68">
      <c r="A68" s="59" t="s">
        <v>163</v>
      </c>
    </row>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