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Ledger Summary Rank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3" customWidth="1" min="2" max="2"/>
    <col width="29" customWidth="1" min="3" max="3"/>
    <col width="56" customWidth="1" min="4" max="4"/>
  </cols>
  <sheetData>
    <row r="1">
      <c r="A1" s="1" t="inlineStr">
        <is>
          <t>RETIREMENT SUITABILITY STRATEGY COMPARE FRAMEWORK - STRATEGY RANK 1</t>
        </is>
      </c>
    </row>
    <row r="2"/>
    <row r="3">
      <c r="A3" s="2" t="inlineStr">
        <is>
          <t>Strategic Performance Metric Profile</t>
        </is>
      </c>
      <c r="B3" s="2" t="inlineStr">
        <is>
          <t>Target Strategy Metric Value</t>
        </is>
      </c>
      <c r="C3" s="2" t="inlineStr">
        <is>
          <t>Operational Index Weight</t>
        </is>
      </c>
      <c r="D3" s="2" t="inlineStr">
        <is>
          <t>Compliance Profile Boundary</t>
        </is>
      </c>
    </row>
    <row r="4">
      <c r="A4" s="3" t="inlineStr">
        <is>
          <t>Liquidity Valley Defense Score</t>
        </is>
      </c>
      <c r="B4" s="4" t="n">
        <v>24.5</v>
      </c>
      <c r="C4" s="4" t="inlineStr">
        <is>
          <t>Max 25 Pts</t>
        </is>
      </c>
      <c r="D4" s="3" t="inlineStr">
        <is>
          <t>Cash runway buffer survival metrics.</t>
        </is>
      </c>
    </row>
    <row r="5">
      <c r="A5" s="3" t="inlineStr">
        <is>
          <t>IRS 5-Year Clock Safety Score</t>
        </is>
      </c>
      <c r="B5" s="4" t="n">
        <v>23</v>
      </c>
      <c r="C5" s="4" t="inlineStr">
        <is>
          <t>Max 25 Pts</t>
        </is>
      </c>
      <c r="D5" s="3" t="inlineStr">
        <is>
          <t>Protection boundary against active penalty metrics.</t>
        </is>
      </c>
    </row>
    <row r="6">
      <c r="A6" s="3" t="inlineStr">
        <is>
          <t>Generational Roth Ratio Score</t>
        </is>
      </c>
      <c r="B6" s="4" t="n">
        <v>17</v>
      </c>
      <c r="C6" s="4" t="inlineStr">
        <is>
          <t>Max 25 Pts</t>
        </is>
      </c>
      <c r="D6" s="3" t="inlineStr">
        <is>
          <t>Final accumulation assets locked inside Roth pool.</t>
        </is>
      </c>
    </row>
    <row r="7">
      <c r="A7" s="3" t="inlineStr">
        <is>
          <t>Legislative Risk Defense Score</t>
        </is>
      </c>
      <c r="B7" s="4" t="n">
        <v>14.5</v>
      </c>
      <c r="C7" s="4" t="inlineStr">
        <is>
          <t>Max 25 Pts</t>
        </is>
      </c>
      <c r="D7" s="3" t="inlineStr">
        <is>
          <t>Clearing speed timeline defense score.</t>
        </is>
      </c>
    </row>
    <row r="8">
      <c r="A8" s="5" t="inlineStr">
        <is>
          <t>FINAL RETIREMENT SUITABILITY INDEX</t>
        </is>
      </c>
      <c r="B8" s="6" t="inlineStr">
        <is>
          <t>100.0 / 100</t>
        </is>
      </c>
      <c r="C8" s="6" t="inlineStr">
        <is>
          <t>Combined Total</t>
        </is>
      </c>
      <c r="D8" s="5" t="inlineStr">
        <is>
          <t>Strategic filter scorecard suitability total.</t>
        </is>
      </c>
    </row>
    <row r="9"/>
    <row r="10">
      <c r="A10" s="5" t="inlineStr">
        <is>
          <t>Total Multi-Year Allowable Conversion Volume</t>
        </is>
      </c>
      <c r="B10" s="7">
        <f>SUM('Ledger Summary Rank 1'!L28:L71)</f>
        <v/>
      </c>
      <c r="C10" s="7">
        <f>SUM('Ledger Summary Rank 1'!L28:L71)</f>
        <v/>
      </c>
    </row>
    <row r="11">
      <c r="A11" s="5" t="inlineStr">
        <is>
          <t>Cumulative Tax Pool Paid to Convert</t>
        </is>
      </c>
      <c r="B11" s="7">
        <f>SUM('Ledger Summary Rank 1'!F28:F71)</f>
        <v/>
      </c>
      <c r="C11" s="7">
        <f>SUM('Ledger Summary Rank 1'!F28:F71)</f>
        <v/>
      </c>
    </row>
    <row r="12">
      <c r="A12" s="5" t="inlineStr">
        <is>
          <t>Total Lifetime ACA / Medicare Insurance Costs</t>
        </is>
      </c>
      <c r="B12" s="7">
        <f>SUM('Ledger Summary Rank 1'!G28:H71)</f>
        <v/>
      </c>
      <c r="C12" s="7">
        <f>SUM('Ledger Summary Rank 1'!G28:G71)</f>
        <v/>
      </c>
    </row>
    <row r="13">
      <c r="A13" s="5" t="inlineStr">
        <is>
          <t>Overall Total Value inside the Roth at Age 90</t>
        </is>
      </c>
      <c r="B13" s="7">
        <f>'Ledger Summary Rank 1'!M71</f>
        <v/>
      </c>
      <c r="C13" s="7">
        <f>'Ledger Summary Rank 1'!M71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8" customWidth="1" min="2" max="2"/>
    <col width="18" customWidth="1" min="3" max="3"/>
    <col width="23" customWidth="1" min="4" max="4"/>
    <col width="23" customWidth="1" min="5" max="5"/>
    <col width="23" customWidth="1" min="6" max="6"/>
    <col width="25" customWidth="1" min="7" max="7"/>
    <col width="23" customWidth="1" min="8" max="8"/>
    <col width="23" customWidth="1" min="9" max="9"/>
    <col width="23" customWidth="1" min="10" max="10"/>
    <col width="25" customWidth="1" min="11" max="11"/>
    <col width="23" customWidth="1" min="12" max="12"/>
    <col width="23" customWidth="1" min="13" max="13"/>
    <col width="18" customWidth="1" min="14" max="14"/>
    <col width="18" customWidth="1" min="15" max="15"/>
    <col width="44" customWidth="1" min="16" max="16"/>
    <col width="23" customWidth="1" min="17" max="17"/>
    <col width="24" customWidth="1" min="18" max="18"/>
    <col width="23" customWidth="1" min="19" max="19"/>
    <col width="23" customWidth="1" min="20" max="20"/>
  </cols>
  <sheetData>
    <row r="1">
      <c r="A1" s="1" t="inlineStr">
        <is>
          <t>CHRONOLOGICAL CONVERSION TIMELINE TRANSACTIONS MATRIX - COMPLIANCE RECORDS</t>
        </is>
      </c>
    </row>
    <row r="2"/>
    <row r="3">
      <c r="A3" s="8" t="inlineStr">
        <is>
          <t>Year</t>
        </is>
      </c>
      <c r="B3" s="8" t="inlineStr">
        <is>
          <t>Wife Age</t>
        </is>
      </c>
      <c r="C3" s="8" t="inlineStr">
        <is>
          <t>Husband Age</t>
        </is>
      </c>
      <c r="D3" s="8" t="inlineStr">
        <is>
          <t>Brokerage Start</t>
        </is>
      </c>
      <c r="E3" s="8" t="inlineStr">
        <is>
          <t>401k Start</t>
        </is>
      </c>
      <c r="F3" s="8" t="inlineStr">
        <is>
          <t>Roth Start</t>
        </is>
      </c>
      <c r="G3" s="8" t="inlineStr">
        <is>
          <t>Yearly Income Needed</t>
        </is>
      </c>
      <c r="H3" s="8" t="inlineStr">
        <is>
          <t>Healthcare Cost</t>
        </is>
      </c>
      <c r="I3" s="8" t="inlineStr">
        <is>
          <t>Estimated Taxes</t>
        </is>
      </c>
      <c r="J3" s="8" t="inlineStr">
        <is>
          <t>Total Outflow</t>
        </is>
      </c>
      <c r="K3" s="8" t="inlineStr">
        <is>
          <t>From Pension/SS/Rent</t>
        </is>
      </c>
      <c r="L3" s="8" t="inlineStr">
        <is>
          <t>From Brokerage</t>
        </is>
      </c>
      <c r="M3" s="8" t="inlineStr">
        <is>
          <t>From Roth</t>
        </is>
      </c>
      <c r="N3" s="8" t="inlineStr">
        <is>
          <t>From 401(k)</t>
        </is>
      </c>
      <c r="O3" s="8" t="inlineStr">
        <is>
          <t>Mandatory RMD</t>
        </is>
      </c>
      <c r="P3" s="8" t="inlineStr">
        <is>
          <t>Total Taxable Income</t>
        </is>
      </c>
      <c r="Q3" s="8" t="inlineStr">
        <is>
          <t>Brokerage End</t>
        </is>
      </c>
      <c r="R3" s="8" t="inlineStr">
        <is>
          <t>Max Roth Conversion</t>
        </is>
      </c>
      <c r="S3" s="8" t="inlineStr">
        <is>
          <t>401(k) End</t>
        </is>
      </c>
      <c r="T3" s="8" t="inlineStr">
        <is>
          <t>Roth End</t>
        </is>
      </c>
    </row>
    <row r="4">
      <c r="A4" s="9" t="n">
        <v>2026</v>
      </c>
      <c r="B4" s="9" t="n">
        <v>47</v>
      </c>
      <c r="C4" s="9" t="n">
        <v>46</v>
      </c>
      <c r="D4" s="10" t="n">
        <v>456986.29</v>
      </c>
      <c r="E4" s="10" t="n">
        <v>1476432.85</v>
      </c>
      <c r="F4" s="10" t="n">
        <v>130967.93</v>
      </c>
      <c r="G4" s="10" t="n">
        <v>65000</v>
      </c>
      <c r="H4" s="10" t="n">
        <v>0</v>
      </c>
      <c r="I4" s="10" t="n">
        <v>49645.05458125001</v>
      </c>
      <c r="J4" s="10" t="n">
        <v>114645.05458125</v>
      </c>
      <c r="K4" s="10" t="n">
        <v>24000</v>
      </c>
      <c r="L4" s="10" t="n">
        <v>41000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388321.709543875</v>
      </c>
      <c r="R4" s="10" t="n">
        <v>0</v>
      </c>
      <c r="S4" s="10" t="n">
        <v>1369391.468375</v>
      </c>
      <c r="T4" s="10" t="n">
        <v>334453.358425</v>
      </c>
    </row>
    <row r="5">
      <c r="A5" s="4" t="n">
        <v>2027</v>
      </c>
      <c r="B5" s="4" t="n">
        <v>48</v>
      </c>
      <c r="C5" s="4" t="n">
        <v>47</v>
      </c>
      <c r="D5" s="7" t="n">
        <v>388321.709543875</v>
      </c>
      <c r="E5" s="7" t="n">
        <v>1369391.468375</v>
      </c>
      <c r="F5" s="7" t="n">
        <v>334453.358425</v>
      </c>
      <c r="G5" s="7" t="n">
        <v>66950</v>
      </c>
      <c r="H5" s="7" t="n">
        <v>0</v>
      </c>
      <c r="I5" s="7" t="n">
        <v>52623.75785612501</v>
      </c>
      <c r="J5" s="7" t="n">
        <v>119573.757856125</v>
      </c>
      <c r="K5" s="7" t="n">
        <v>24720</v>
      </c>
      <c r="L5" s="7" t="n">
        <v>42230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311076.028789015</v>
      </c>
      <c r="R5" s="7" t="n">
        <v>0</v>
      </c>
      <c r="S5" s="7" t="n">
        <v>1244189.962695</v>
      </c>
      <c r="T5" s="7" t="n">
        <v>561885.553713</v>
      </c>
    </row>
    <row r="6">
      <c r="A6" s="9" t="n">
        <v>2028</v>
      </c>
      <c r="B6" s="9" t="n">
        <v>49</v>
      </c>
      <c r="C6" s="9" t="n">
        <v>48</v>
      </c>
      <c r="D6" s="10" t="n">
        <v>311076.028789015</v>
      </c>
      <c r="E6" s="10" t="n">
        <v>1244189.962695</v>
      </c>
      <c r="F6" s="10" t="n">
        <v>561885.553713</v>
      </c>
      <c r="G6" s="10" t="n">
        <v>68958.5</v>
      </c>
      <c r="H6" s="10" t="n">
        <v>0</v>
      </c>
      <c r="I6" s="10" t="n">
        <v>55781.18332749251</v>
      </c>
      <c r="J6" s="10" t="n">
        <v>124739.6833274925</v>
      </c>
      <c r="K6" s="10" t="n">
        <v>25461.6</v>
      </c>
      <c r="L6" s="10" t="n">
        <v>43496.90000000002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224505.8221892139</v>
      </c>
      <c r="R6" s="10" t="n">
        <v>0</v>
      </c>
      <c r="S6" s="10" t="n">
        <v>1099034.46704725</v>
      </c>
      <c r="T6" s="10" t="n">
        <v>815405.5803452301</v>
      </c>
    </row>
    <row r="7">
      <c r="A7" s="4" t="n">
        <v>2029</v>
      </c>
      <c r="B7" s="4" t="n">
        <v>50</v>
      </c>
      <c r="C7" s="4" t="n">
        <v>49</v>
      </c>
      <c r="D7" s="7" t="n">
        <v>224505.8221892139</v>
      </c>
      <c r="E7" s="7" t="n">
        <v>1099034.46704725</v>
      </c>
      <c r="F7" s="7" t="n">
        <v>815405.5803452301</v>
      </c>
      <c r="G7" s="7" t="n">
        <v>71027.255</v>
      </c>
      <c r="H7" s="7" t="n">
        <v>0</v>
      </c>
      <c r="I7" s="7" t="n">
        <v>59128.05432714208</v>
      </c>
      <c r="J7" s="7" t="n">
        <v>130155.3093271421</v>
      </c>
      <c r="K7" s="7" t="n">
        <v>26225.448</v>
      </c>
      <c r="L7" s="7" t="n">
        <v>44801.80699999999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127810.5185137961</v>
      </c>
      <c r="R7" s="7" t="n">
        <v>0</v>
      </c>
      <c r="S7" s="7" t="n">
        <v>931981.2280560683</v>
      </c>
      <c r="T7" s="7" t="n">
        <v>1097325.222179961</v>
      </c>
    </row>
    <row r="8">
      <c r="A8" s="9" t="n">
        <v>2030</v>
      </c>
      <c r="B8" s="9" t="n">
        <v>51</v>
      </c>
      <c r="C8" s="9" t="n">
        <v>50</v>
      </c>
      <c r="D8" s="10" t="n">
        <v>127810.5185137961</v>
      </c>
      <c r="E8" s="10" t="n">
        <v>931981.2280560683</v>
      </c>
      <c r="F8" s="10" t="n">
        <v>1097325.222179961</v>
      </c>
      <c r="G8" s="10" t="n">
        <v>73158.07265</v>
      </c>
      <c r="H8" s="10" t="n">
        <v>0</v>
      </c>
      <c r="I8" s="10" t="n">
        <v>61870</v>
      </c>
      <c r="J8" s="10" t="n">
        <v>135028.07265</v>
      </c>
      <c r="K8" s="10" t="n">
        <v>27012.21144</v>
      </c>
      <c r="L8" s="10" t="n">
        <v>46145.86121000001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20982.33674202389</v>
      </c>
      <c r="R8" s="10" t="n">
        <v>0</v>
      </c>
      <c r="S8" s="10" t="n">
        <v>744100.1017394324</v>
      </c>
      <c r="T8" s="10" t="n">
        <v>1406964.735510759</v>
      </c>
    </row>
    <row r="9">
      <c r="A9" s="4" t="n">
        <v>2031</v>
      </c>
      <c r="B9" s="4" t="n">
        <v>52</v>
      </c>
      <c r="C9" s="4" t="n">
        <v>51</v>
      </c>
      <c r="D9" s="7" t="n">
        <v>20982.33674202389</v>
      </c>
      <c r="E9" s="7" t="n">
        <v>744100.1017394324</v>
      </c>
      <c r="F9" s="7" t="n">
        <v>1406964.735510759</v>
      </c>
      <c r="G9" s="7" t="n">
        <v>75352.8148295</v>
      </c>
      <c r="H9" s="7" t="n">
        <v>0</v>
      </c>
      <c r="I9" s="7" t="n">
        <v>61870</v>
      </c>
      <c r="J9" s="7" t="n">
        <v>137222.8148295</v>
      </c>
      <c r="K9" s="7" t="n">
        <v>27822.5777832</v>
      </c>
      <c r="L9" s="7" t="n">
        <v>0</v>
      </c>
      <c r="M9" s="7" t="n">
        <v>47530.2370463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544946.1078437984</v>
      </c>
      <c r="T9" s="7" t="n">
        <v>1636421.440191964</v>
      </c>
    </row>
    <row r="10">
      <c r="A10" s="9" t="n">
        <v>2032</v>
      </c>
      <c r="B10" s="9" t="n">
        <v>53</v>
      </c>
      <c r="C10" s="9" t="n">
        <v>52</v>
      </c>
      <c r="D10" s="10" t="n">
        <v>0</v>
      </c>
      <c r="E10" s="10" t="n">
        <v>544946.1078437984</v>
      </c>
      <c r="F10" s="10" t="n">
        <v>1636421.440191964</v>
      </c>
      <c r="G10" s="10" t="n">
        <v>77613.39927438501</v>
      </c>
      <c r="H10" s="10" t="n">
        <v>0</v>
      </c>
      <c r="I10" s="10" t="n">
        <v>61870</v>
      </c>
      <c r="J10" s="10" t="n">
        <v>139483.399274385</v>
      </c>
      <c r="K10" s="10" t="n">
        <v>28657.255116696</v>
      </c>
      <c r="L10" s="10" t="n">
        <v>0</v>
      </c>
      <c r="M10" s="10" t="n">
        <v>48956.14415768901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333842.8743144263</v>
      </c>
      <c r="T10" s="10" t="n">
        <v>1855741.662515616</v>
      </c>
    </row>
    <row r="11">
      <c r="A11" s="4" t="n">
        <v>2033</v>
      </c>
      <c r="B11" s="4" t="n">
        <v>54</v>
      </c>
      <c r="C11" s="4" t="n">
        <v>53</v>
      </c>
      <c r="D11" s="7" t="n">
        <v>0</v>
      </c>
      <c r="E11" s="7" t="n">
        <v>333842.8743144263</v>
      </c>
      <c r="F11" s="7" t="n">
        <v>1855741.662515616</v>
      </c>
      <c r="G11" s="7" t="n">
        <v>122987.386542487</v>
      </c>
      <c r="H11" s="7" t="n">
        <v>11806.78910807875</v>
      </c>
      <c r="I11" s="7" t="n">
        <v>89803.73319058066</v>
      </c>
      <c r="J11" s="7" t="n">
        <v>224597.9088411464</v>
      </c>
      <c r="K11" s="7" t="n">
        <v>0</v>
      </c>
      <c r="L11" s="7" t="n">
        <v>0</v>
      </c>
      <c r="M11" s="7" t="n">
        <v>134794.1756505658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2068597.64304927</v>
      </c>
    </row>
    <row r="12">
      <c r="A12" s="9" t="n">
        <v>2034</v>
      </c>
      <c r="B12" s="9" t="n">
        <v>55</v>
      </c>
      <c r="C12" s="9" t="n">
        <v>54</v>
      </c>
      <c r="D12" s="10" t="n">
        <v>0</v>
      </c>
      <c r="E12" s="10" t="n">
        <v>0</v>
      </c>
      <c r="F12" s="10" t="n">
        <v>2068597.64304927</v>
      </c>
      <c r="G12" s="10" t="n">
        <v>126677.0081387616</v>
      </c>
      <c r="H12" s="10" t="n">
        <v>12160.99278132112</v>
      </c>
      <c r="I12" s="10" t="n">
        <v>3000</v>
      </c>
      <c r="J12" s="10" t="n">
        <v>141838.0009200828</v>
      </c>
      <c r="K12" s="10" t="n">
        <v>0</v>
      </c>
      <c r="L12" s="10" t="n">
        <v>0</v>
      </c>
      <c r="M12" s="10" t="n">
        <v>138838.0009200827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2027648.39255941</v>
      </c>
    </row>
    <row r="13">
      <c r="A13" s="4" t="n">
        <v>2035</v>
      </c>
      <c r="B13" s="4" t="n">
        <v>56</v>
      </c>
      <c r="C13" s="4" t="n">
        <v>55</v>
      </c>
      <c r="D13" s="7" t="n">
        <v>0</v>
      </c>
      <c r="E13" s="7" t="n">
        <v>0</v>
      </c>
      <c r="F13" s="7" t="n">
        <v>2027648.39255941</v>
      </c>
      <c r="G13" s="7" t="n">
        <v>130477.3183829245</v>
      </c>
      <c r="H13" s="7" t="n">
        <v>12525.82256476075</v>
      </c>
      <c r="I13" s="7" t="n">
        <v>3000</v>
      </c>
      <c r="J13" s="7" t="n">
        <v>146003.1409476853</v>
      </c>
      <c r="K13" s="7" t="n">
        <v>0</v>
      </c>
      <c r="L13" s="7" t="n">
        <v>0</v>
      </c>
      <c r="M13" s="7" t="n">
        <v>143003.1409476853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1979385.633767973</v>
      </c>
    </row>
    <row r="14">
      <c r="A14" s="9" t="n">
        <v>2036</v>
      </c>
      <c r="B14" s="9" t="n">
        <v>57</v>
      </c>
      <c r="C14" s="9" t="n">
        <v>56</v>
      </c>
      <c r="D14" s="10" t="n">
        <v>0</v>
      </c>
      <c r="E14" s="10" t="n">
        <v>0</v>
      </c>
      <c r="F14" s="10" t="n">
        <v>1979385.633767973</v>
      </c>
      <c r="G14" s="10" t="n">
        <v>134391.6379344122</v>
      </c>
      <c r="H14" s="10" t="n">
        <v>12901.59724170357</v>
      </c>
      <c r="I14" s="10" t="n">
        <v>3000</v>
      </c>
      <c r="J14" s="10" t="n">
        <v>150293.2351761158</v>
      </c>
      <c r="K14" s="10" t="n">
        <v>0</v>
      </c>
      <c r="L14" s="10" t="n">
        <v>0</v>
      </c>
      <c r="M14" s="10" t="n">
        <v>147293.2351761158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1923224.859578701</v>
      </c>
    </row>
    <row r="15">
      <c r="A15" s="4" t="n">
        <v>2037</v>
      </c>
      <c r="B15" s="4" t="n">
        <v>58</v>
      </c>
      <c r="C15" s="4" t="n">
        <v>57</v>
      </c>
      <c r="D15" s="7" t="n">
        <v>0</v>
      </c>
      <c r="E15" s="7" t="n">
        <v>0</v>
      </c>
      <c r="F15" s="7" t="n">
        <v>1923224.859578701</v>
      </c>
      <c r="G15" s="7" t="n">
        <v>138423.3870724446</v>
      </c>
      <c r="H15" s="7" t="n">
        <v>13288.64515895468</v>
      </c>
      <c r="I15" s="7" t="n">
        <v>3000</v>
      </c>
      <c r="J15" s="7" t="n">
        <v>154712.0322313993</v>
      </c>
      <c r="K15" s="7" t="n">
        <v>0</v>
      </c>
      <c r="L15" s="7" t="n">
        <v>0</v>
      </c>
      <c r="M15" s="7" t="n">
        <v>151712.0322313993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1858542.121571611</v>
      </c>
    </row>
    <row r="16">
      <c r="A16" s="9" t="n">
        <v>2038</v>
      </c>
      <c r="B16" s="9" t="n">
        <v>59</v>
      </c>
      <c r="C16" s="9" t="n">
        <v>58</v>
      </c>
      <c r="D16" s="10" t="n">
        <v>0</v>
      </c>
      <c r="E16" s="10" t="n">
        <v>0</v>
      </c>
      <c r="F16" s="10" t="n">
        <v>1858542.121571611</v>
      </c>
      <c r="G16" s="10" t="n">
        <v>142576.0886846179</v>
      </c>
      <c r="H16" s="10" t="n">
        <v>13687.30451372332</v>
      </c>
      <c r="I16" s="10" t="n">
        <v>3000</v>
      </c>
      <c r="J16" s="10" t="n">
        <v>159263.3931983412</v>
      </c>
      <c r="K16" s="10" t="n">
        <v>0</v>
      </c>
      <c r="L16" s="10" t="n">
        <v>0</v>
      </c>
      <c r="M16" s="10" t="n">
        <v>156263.3931983412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1784671.532396642</v>
      </c>
    </row>
    <row r="17">
      <c r="A17" s="4" t="n">
        <v>2039</v>
      </c>
      <c r="B17" s="4" t="n">
        <v>60</v>
      </c>
      <c r="C17" s="4" t="n">
        <v>59</v>
      </c>
      <c r="D17" s="7" t="n">
        <v>0</v>
      </c>
      <c r="E17" s="7" t="n">
        <v>0</v>
      </c>
      <c r="F17" s="7" t="n">
        <v>1784671.532396642</v>
      </c>
      <c r="G17" s="7" t="n">
        <v>146853.3713451565</v>
      </c>
      <c r="H17" s="7" t="n">
        <v>14097.92364913502</v>
      </c>
      <c r="I17" s="7" t="n">
        <v>3000</v>
      </c>
      <c r="J17" s="7" t="n">
        <v>163951.2949942915</v>
      </c>
      <c r="K17" s="7" t="n">
        <v>0</v>
      </c>
      <c r="L17" s="7" t="n">
        <v>0</v>
      </c>
      <c r="M17" s="7" t="n">
        <v>160951.2949942915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1717963.451646492</v>
      </c>
    </row>
    <row r="18">
      <c r="A18" s="9" t="n">
        <v>2040</v>
      </c>
      <c r="B18" s="9" t="n">
        <v>61</v>
      </c>
      <c r="C18" s="9" t="n">
        <v>60</v>
      </c>
      <c r="D18" s="10" t="n">
        <v>0</v>
      </c>
      <c r="E18" s="10" t="n">
        <v>0</v>
      </c>
      <c r="F18" s="10" t="n">
        <v>1717963.451646492</v>
      </c>
      <c r="G18" s="10" t="n">
        <v>151258.9724855112</v>
      </c>
      <c r="H18" s="10" t="n">
        <v>14520.86135860907</v>
      </c>
      <c r="I18" s="10" t="n">
        <v>3000</v>
      </c>
      <c r="J18" s="10" t="n">
        <v>168779.8338441203</v>
      </c>
      <c r="K18" s="10" t="n">
        <v>53318.78780114269</v>
      </c>
      <c r="L18" s="10" t="n">
        <v>0</v>
      </c>
      <c r="M18" s="10" t="n">
        <v>112461.0460429776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1698652.549939725</v>
      </c>
    </row>
    <row r="19">
      <c r="A19" s="4" t="n">
        <v>2041</v>
      </c>
      <c r="B19" s="4" t="n">
        <v>62</v>
      </c>
      <c r="C19" s="4" t="n">
        <v>61</v>
      </c>
      <c r="D19" s="7" t="n">
        <v>0</v>
      </c>
      <c r="E19" s="7" t="n">
        <v>0</v>
      </c>
      <c r="F19" s="7" t="n">
        <v>1698652.549939725</v>
      </c>
      <c r="G19" s="7" t="n">
        <v>155796.7416600765</v>
      </c>
      <c r="H19" s="7" t="n">
        <v>14956.48719936734</v>
      </c>
      <c r="I19" s="7" t="n">
        <v>3000</v>
      </c>
      <c r="J19" s="7" t="n">
        <v>173753.2288594439</v>
      </c>
      <c r="K19" s="7" t="n">
        <v>210715.0930952535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1797391.702936109</v>
      </c>
    </row>
    <row r="20">
      <c r="A20" s="9" t="n">
        <v>2042</v>
      </c>
      <c r="B20" s="9" t="n">
        <v>63</v>
      </c>
      <c r="C20" s="9" t="n">
        <v>62</v>
      </c>
      <c r="D20" s="10" t="n">
        <v>0</v>
      </c>
      <c r="E20" s="10" t="n">
        <v>0</v>
      </c>
      <c r="F20" s="10" t="n">
        <v>1797391.702936109</v>
      </c>
      <c r="G20" s="10" t="n">
        <v>160470.6439098788</v>
      </c>
      <c r="H20" s="10" t="n">
        <v>15405.18181534837</v>
      </c>
      <c r="I20" s="10" t="n">
        <v>3000</v>
      </c>
      <c r="J20" s="10" t="n">
        <v>178875.8257252272</v>
      </c>
      <c r="K20" s="10" t="n">
        <v>217036.5458881111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1902055.205112275</v>
      </c>
    </row>
    <row r="21">
      <c r="A21" s="4" t="n">
        <v>2043</v>
      </c>
      <c r="B21" s="4" t="n">
        <v>64</v>
      </c>
      <c r="C21" s="4" t="n">
        <v>63</v>
      </c>
      <c r="D21" s="7" t="n">
        <v>0</v>
      </c>
      <c r="E21" s="7" t="n">
        <v>0</v>
      </c>
      <c r="F21" s="7" t="n">
        <v>1902055.205112275</v>
      </c>
      <c r="G21" s="7" t="n">
        <v>165284.7632271752</v>
      </c>
      <c r="H21" s="7" t="n">
        <v>15867.33726980882</v>
      </c>
      <c r="I21" s="7" t="n">
        <v>3000</v>
      </c>
      <c r="J21" s="7" t="n">
        <v>184152.100496984</v>
      </c>
      <c r="K21" s="7" t="n">
        <v>223547.6422647545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2012998.517419012</v>
      </c>
    </row>
    <row r="22">
      <c r="A22" s="9" t="n">
        <v>2044</v>
      </c>
      <c r="B22" s="9" t="n">
        <v>65</v>
      </c>
      <c r="C22" s="9" t="n">
        <v>64</v>
      </c>
      <c r="D22" s="10" t="n">
        <v>0</v>
      </c>
      <c r="E22" s="10" t="n">
        <v>0</v>
      </c>
      <c r="F22" s="10" t="n">
        <v>2012998.517419012</v>
      </c>
      <c r="G22" s="10" t="n">
        <v>170243.3061239904</v>
      </c>
      <c r="H22" s="10" t="n">
        <v>16343.35738790308</v>
      </c>
      <c r="I22" s="10" t="n">
        <v>3000</v>
      </c>
      <c r="J22" s="10" t="n">
        <v>189586.6635118935</v>
      </c>
      <c r="K22" s="10" t="n">
        <v>230254.0715326971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2130598.428464152</v>
      </c>
    </row>
    <row r="23">
      <c r="A23" s="4" t="n">
        <v>2045</v>
      </c>
      <c r="B23" s="4" t="n">
        <v>66</v>
      </c>
      <c r="C23" s="4" t="n">
        <v>65</v>
      </c>
      <c r="D23" s="7" t="n">
        <v>0</v>
      </c>
      <c r="E23" s="7" t="n">
        <v>0</v>
      </c>
      <c r="F23" s="7" t="n">
        <v>2130598.428464152</v>
      </c>
      <c r="G23" s="7" t="n">
        <v>175350.6053077102</v>
      </c>
      <c r="H23" s="7" t="n">
        <v>16833.65810954017</v>
      </c>
      <c r="I23" s="7" t="n">
        <v>3000</v>
      </c>
      <c r="J23" s="7" t="n">
        <v>195184.2634172503</v>
      </c>
      <c r="K23" s="7" t="n">
        <v>237161.693678678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2255254.334172002</v>
      </c>
    </row>
    <row r="24">
      <c r="A24" s="9" t="n">
        <v>2046</v>
      </c>
      <c r="B24" s="9" t="n">
        <v>67</v>
      </c>
      <c r="C24" s="9" t="n">
        <v>66</v>
      </c>
      <c r="D24" s="10" t="n">
        <v>0</v>
      </c>
      <c r="E24" s="10" t="n">
        <v>0</v>
      </c>
      <c r="F24" s="10" t="n">
        <v>2255254.334172002</v>
      </c>
      <c r="G24" s="10" t="n">
        <v>180611.1234669415</v>
      </c>
      <c r="H24" s="10" t="n">
        <v>17338.66785282638</v>
      </c>
      <c r="I24" s="10" t="n">
        <v>3000</v>
      </c>
      <c r="J24" s="10" t="n">
        <v>200949.7913197679</v>
      </c>
      <c r="K24" s="10" t="n">
        <v>244276.5444890384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2387389.594222322</v>
      </c>
    </row>
    <row r="25">
      <c r="A25" s="4" t="n">
        <v>2047</v>
      </c>
      <c r="B25" s="4" t="n">
        <v>68</v>
      </c>
      <c r="C25" s="4" t="n">
        <v>67</v>
      </c>
      <c r="D25" s="7" t="n">
        <v>0</v>
      </c>
      <c r="E25" s="7" t="n">
        <v>0</v>
      </c>
      <c r="F25" s="7" t="n">
        <v>2387389.594222322</v>
      </c>
      <c r="G25" s="7" t="n">
        <v>186029.4571709497</v>
      </c>
      <c r="H25" s="7" t="n">
        <v>17858.82788841117</v>
      </c>
      <c r="I25" s="7" t="n">
        <v>3000</v>
      </c>
      <c r="J25" s="7" t="n">
        <v>206888.2850593609</v>
      </c>
      <c r="K25" s="7" t="n">
        <v>251604.8408237095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2527452.969875661</v>
      </c>
    </row>
    <row r="26">
      <c r="A26" s="9" t="n">
        <v>2048</v>
      </c>
      <c r="B26" s="9" t="n">
        <v>69</v>
      </c>
      <c r="C26" s="9" t="n">
        <v>68</v>
      </c>
      <c r="D26" s="10" t="n">
        <v>0</v>
      </c>
      <c r="E26" s="10" t="n">
        <v>0</v>
      </c>
      <c r="F26" s="10" t="n">
        <v>2527452.969875661</v>
      </c>
      <c r="G26" s="10" t="n">
        <v>191610.3408860782</v>
      </c>
      <c r="H26" s="10" t="n">
        <v>18394.59272506351</v>
      </c>
      <c r="I26" s="10" t="n">
        <v>3000</v>
      </c>
      <c r="J26" s="10" t="n">
        <v>213004.9336111417</v>
      </c>
      <c r="K26" s="10" t="n">
        <v>259152.9860484208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2675920.148068201</v>
      </c>
    </row>
    <row r="27">
      <c r="A27" s="4" t="n">
        <v>2049</v>
      </c>
      <c r="B27" s="4" t="n">
        <v>70</v>
      </c>
      <c r="C27" s="4" t="n">
        <v>69</v>
      </c>
      <c r="D27" s="7" t="n">
        <v>0</v>
      </c>
      <c r="E27" s="7" t="n">
        <v>0</v>
      </c>
      <c r="F27" s="7" t="n">
        <v>2675920.148068201</v>
      </c>
      <c r="G27" s="7" t="n">
        <v>167754.8534457615</v>
      </c>
      <c r="H27" s="7" t="n">
        <v>18946.43050681542</v>
      </c>
      <c r="I27" s="7" t="n">
        <v>3000</v>
      </c>
      <c r="J27" s="7" t="n">
        <v>189701.2839525769</v>
      </c>
      <c r="K27" s="7" t="n">
        <v>266927.5756298734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2833295.356952293</v>
      </c>
    </row>
    <row r="28">
      <c r="A28" s="9" t="n">
        <v>2050</v>
      </c>
      <c r="B28" s="9" t="n">
        <v>71</v>
      </c>
      <c r="C28" s="9" t="n">
        <v>70</v>
      </c>
      <c r="D28" s="10" t="n">
        <v>0</v>
      </c>
      <c r="E28" s="10" t="n">
        <v>0</v>
      </c>
      <c r="F28" s="10" t="n">
        <v>2833295.356952293</v>
      </c>
      <c r="G28" s="10" t="n">
        <v>172787.4990491343</v>
      </c>
      <c r="H28" s="10" t="n">
        <v>19514.82342201988</v>
      </c>
      <c r="I28" s="10" t="n">
        <v>3000</v>
      </c>
      <c r="J28" s="10" t="n">
        <v>195302.3224711542</v>
      </c>
      <c r="K28" s="10" t="n">
        <v>274935.4028987697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3000113.078369431</v>
      </c>
    </row>
    <row r="29">
      <c r="A29" s="4" t="n">
        <v>2051</v>
      </c>
      <c r="B29" s="4" t="n">
        <v>72</v>
      </c>
      <c r="C29" s="4" t="n">
        <v>71</v>
      </c>
      <c r="D29" s="7" t="n">
        <v>0</v>
      </c>
      <c r="E29" s="7" t="n">
        <v>0</v>
      </c>
      <c r="F29" s="7" t="n">
        <v>3000113.078369431</v>
      </c>
      <c r="G29" s="7" t="n">
        <v>177971.1240206083</v>
      </c>
      <c r="H29" s="7" t="n">
        <v>20100.26812468048</v>
      </c>
      <c r="I29" s="7" t="n">
        <v>3000</v>
      </c>
      <c r="J29" s="7" t="n">
        <v>201071.3921452888</v>
      </c>
      <c r="K29" s="7" t="n">
        <v>283183.4649857327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3176939.863071597</v>
      </c>
    </row>
    <row r="30">
      <c r="A30" s="9" t="n">
        <v>2052</v>
      </c>
      <c r="B30" s="9" t="n">
        <v>73</v>
      </c>
      <c r="C30" s="9" t="n">
        <v>72</v>
      </c>
      <c r="D30" s="10" t="n">
        <v>0</v>
      </c>
      <c r="E30" s="10" t="n">
        <v>0</v>
      </c>
      <c r="F30" s="10" t="n">
        <v>3176939.863071597</v>
      </c>
      <c r="G30" s="10" t="n">
        <v>183310.2577412266</v>
      </c>
      <c r="H30" s="10" t="n">
        <v>20703.27616842089</v>
      </c>
      <c r="I30" s="10" t="n">
        <v>3000</v>
      </c>
      <c r="J30" s="10" t="n">
        <v>207013.5339096475</v>
      </c>
      <c r="K30" s="10" t="n">
        <v>291678.9689353047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3364376.254855893</v>
      </c>
    </row>
    <row r="31">
      <c r="A31" s="4" t="n">
        <v>2053</v>
      </c>
      <c r="B31" s="4" t="n">
        <v>74</v>
      </c>
      <c r="C31" s="4" t="n">
        <v>73</v>
      </c>
      <c r="D31" s="7" t="n">
        <v>0</v>
      </c>
      <c r="E31" s="7" t="n">
        <v>0</v>
      </c>
      <c r="F31" s="7" t="n">
        <v>3364376.254855893</v>
      </c>
      <c r="G31" s="7" t="n">
        <v>188809.5654734634</v>
      </c>
      <c r="H31" s="7" t="n">
        <v>21324.37445347352</v>
      </c>
      <c r="I31" s="7" t="n">
        <v>3000</v>
      </c>
      <c r="J31" s="7" t="n">
        <v>213133.939926937</v>
      </c>
      <c r="K31" s="7" t="n">
        <v>300429.3380033639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3563058.830147246</v>
      </c>
    </row>
    <row r="32">
      <c r="A32" s="9" t="n">
        <v>2054</v>
      </c>
      <c r="B32" s="9" t="n">
        <v>75</v>
      </c>
      <c r="C32" s="9" t="n">
        <v>74</v>
      </c>
      <c r="D32" s="10" t="n">
        <v>0</v>
      </c>
      <c r="E32" s="10" t="n">
        <v>0</v>
      </c>
      <c r="F32" s="10" t="n">
        <v>3563058.830147246</v>
      </c>
      <c r="G32" s="10" t="n">
        <v>194473.8524376673</v>
      </c>
      <c r="H32" s="10" t="n">
        <v>21964.10568707772</v>
      </c>
      <c r="I32" s="10" t="n">
        <v>3000</v>
      </c>
      <c r="J32" s="10" t="n">
        <v>219437.9581247451</v>
      </c>
      <c r="K32" s="10" t="n">
        <v>309442.2181434648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3773662.359956081</v>
      </c>
    </row>
    <row r="33">
      <c r="A33" s="4" t="n">
        <v>2055</v>
      </c>
      <c r="B33" s="4" t="n">
        <v>76</v>
      </c>
      <c r="C33" s="4" t="n">
        <v>75</v>
      </c>
      <c r="D33" s="7" t="n">
        <v>0</v>
      </c>
      <c r="E33" s="7" t="n">
        <v>0</v>
      </c>
      <c r="F33" s="7" t="n">
        <v>3773662.359956081</v>
      </c>
      <c r="G33" s="7" t="n">
        <v>200308.0680107974</v>
      </c>
      <c r="H33" s="7" t="n">
        <v>22623.02885769006</v>
      </c>
      <c r="I33" s="7" t="n">
        <v>3000</v>
      </c>
      <c r="J33" s="7" t="n">
        <v>225931.0968684874</v>
      </c>
      <c r="K33" s="7" t="n">
        <v>318725.4846877687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3996902.101553447</v>
      </c>
    </row>
    <row r="34">
      <c r="A34" s="9" t="n">
        <v>2056</v>
      </c>
      <c r="B34" s="9" t="n">
        <v>90</v>
      </c>
      <c r="C34" s="9" t="n">
        <v>92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</row>
    <row r="35">
      <c r="A35" s="4" t="n">
        <v>2057</v>
      </c>
      <c r="B35" s="4" t="n">
        <v>91</v>
      </c>
      <c r="C35" s="4" t="n">
        <v>93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</row>
    <row r="36">
      <c r="A36" s="9" t="n">
        <v>2058</v>
      </c>
      <c r="B36" s="9" t="n">
        <v>92</v>
      </c>
      <c r="C36" s="9" t="n">
        <v>94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</row>
    <row r="37">
      <c r="A37" s="4" t="n">
        <v>2059</v>
      </c>
      <c r="B37" s="4" t="n">
        <v>93</v>
      </c>
      <c r="C37" s="4" t="n">
        <v>95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</row>
    <row r="38">
      <c r="A38" s="9" t="n">
        <v>2060</v>
      </c>
      <c r="B38" s="9" t="n">
        <v>94</v>
      </c>
      <c r="C38" s="9" t="n">
        <v>96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</row>
    <row r="39">
      <c r="A39" s="4" t="n">
        <v>2061</v>
      </c>
      <c r="B39" s="4" t="n">
        <v>95</v>
      </c>
      <c r="C39" s="4" t="n">
        <v>97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</row>
    <row r="40">
      <c r="A40" s="9" t="n">
        <v>2062</v>
      </c>
      <c r="B40" s="9" t="n">
        <v>96</v>
      </c>
      <c r="C40" s="9" t="n">
        <v>98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</row>
    <row r="41">
      <c r="A41" s="4" t="n">
        <v>2063</v>
      </c>
      <c r="B41" s="4" t="n">
        <v>97</v>
      </c>
      <c r="C41" s="4" t="n">
        <v>99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</row>
    <row r="42">
      <c r="A42" s="9" t="n">
        <v>2064</v>
      </c>
      <c r="B42" s="9" t="n">
        <v>98</v>
      </c>
      <c r="C42" s="9" t="n">
        <v>100</v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</row>
    <row r="43">
      <c r="A43" s="4" t="n">
        <v>2065</v>
      </c>
      <c r="B43" s="4" t="n">
        <v>99</v>
      </c>
      <c r="C43" s="4" t="n">
        <v>101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</row>
    <row r="44">
      <c r="A44" s="9" t="n">
        <v>2066</v>
      </c>
      <c r="B44" s="9" t="n">
        <v>100</v>
      </c>
      <c r="C44" s="9" t="n">
        <v>102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</row>
    <row r="45">
      <c r="A45" s="4" t="n">
        <v>2067</v>
      </c>
      <c r="B45" s="4" t="n">
        <v>101</v>
      </c>
      <c r="C45" s="4" t="n">
        <v>103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</row>
    <row r="46">
      <c r="A46" s="9" t="n">
        <v>2068</v>
      </c>
      <c r="B46" s="9" t="n">
        <v>102</v>
      </c>
      <c r="C46" s="9" t="n">
        <v>104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</row>
    <row r="47">
      <c r="A47" s="4" t="n">
        <v>2069</v>
      </c>
      <c r="B47" s="4" t="n">
        <v>103</v>
      </c>
      <c r="C47" s="4" t="n">
        <v>105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</row>
    <row r="48"/>
    <row r="49"/>
    <row r="50">
      <c r="P50" s="11" t="inlineStr">
        <is>
          <t>Total Combined Conversion Volume:</t>
        </is>
      </c>
      <c r="R50" s="12">
        <f>SUM(R4:R47)</f>
        <v/>
      </c>
    </row>
    <row r="51">
      <c r="P51" s="11" t="inlineStr">
        <is>
          <t>Total Conversion Taxes Paid:</t>
        </is>
      </c>
      <c r="R51" s="12">
        <f>R50*0.199</f>
        <v/>
      </c>
    </row>
    <row r="52">
      <c r="P52" s="11" t="inlineStr">
        <is>
          <t>Total Lifetime Healthcare Cost:</t>
        </is>
      </c>
      <c r="R52" s="12">
        <f>SUM(H4:H47)</f>
        <v/>
      </c>
    </row>
    <row r="53">
      <c r="P53" s="13" t="inlineStr">
        <is>
          <t>Total Un-matured Roth Principal Tapped:</t>
        </is>
      </c>
      <c r="R53" s="14">
        <f>SUM(N4:N47)</f>
        <v/>
      </c>
    </row>
    <row r="54">
      <c r="P54" s="13" t="inlineStr">
        <is>
          <t>Cumulative 10% IRS Penalty Fees Paid:</t>
        </is>
      </c>
      <c r="R54" s="14" t="n">
        <v>0</v>
      </c>
    </row>
    <row r="55">
      <c r="P55" s="11" t="inlineStr">
        <is>
          <t>Terminal Roth Value at Age 90:</t>
        </is>
      </c>
      <c r="R55" s="12">
        <f>T47</f>
        <v/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2026-10-05T23:19:17Z</dcterms:created>
  <dcterms:modified xsi:type="dcterms:W3CDTF">2026-10-05T23:19:17Z</dcterms:modified>
</cp:coreProperties>
</file>