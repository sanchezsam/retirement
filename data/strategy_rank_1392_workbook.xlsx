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edger Summary Rank 139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3" customWidth="1" min="2" max="2"/>
    <col width="29" customWidth="1" min="3" max="3"/>
    <col width="56" customWidth="1" min="4" max="4"/>
  </cols>
  <sheetData>
    <row r="1">
      <c r="A1" s="1" t="inlineStr">
        <is>
          <t>RETIREMENT SUITABILITY STRATEGY COMPARE FRAMEWORK - STRATEGY RANK 1392</t>
        </is>
      </c>
    </row>
    <row r="2"/>
    <row r="3">
      <c r="A3" s="2" t="inlineStr">
        <is>
          <t>Strategic Performance Metric Profile</t>
        </is>
      </c>
      <c r="B3" s="2" t="inlineStr">
        <is>
          <t>Target Strategy Metric Value</t>
        </is>
      </c>
      <c r="C3" s="2" t="inlineStr">
        <is>
          <t>Operational Index Weight</t>
        </is>
      </c>
      <c r="D3" s="2" t="inlineStr">
        <is>
          <t>Compliance Profile Boundary</t>
        </is>
      </c>
    </row>
    <row r="4">
      <c r="A4" s="3" t="inlineStr">
        <is>
          <t>Liquidity Valley Defense Score</t>
        </is>
      </c>
      <c r="B4" s="4" t="n">
        <v>14</v>
      </c>
      <c r="C4" s="4" t="inlineStr">
        <is>
          <t>Max 25 Pts</t>
        </is>
      </c>
      <c r="D4" s="3" t="inlineStr">
        <is>
          <t>Cash runway buffer survival metrics.</t>
        </is>
      </c>
    </row>
    <row r="5">
      <c r="A5" s="3" t="inlineStr">
        <is>
          <t>IRS 5-Year Clock Safety Score</t>
        </is>
      </c>
      <c r="B5" s="4" t="n">
        <v>14</v>
      </c>
      <c r="C5" s="4" t="inlineStr">
        <is>
          <t>Max 25 Pts</t>
        </is>
      </c>
      <c r="D5" s="3" t="inlineStr">
        <is>
          <t>Protection boundary against active penalty metrics.</t>
        </is>
      </c>
    </row>
    <row r="6">
      <c r="A6" s="3" t="inlineStr">
        <is>
          <t>Generational Roth Ratio Score</t>
        </is>
      </c>
      <c r="B6" s="4" t="n">
        <v>21.5</v>
      </c>
      <c r="C6" s="4" t="inlineStr">
        <is>
          <t>Max 25 Pts</t>
        </is>
      </c>
      <c r="D6" s="3" t="inlineStr">
        <is>
          <t>Final accumulation assets locked inside Roth pool.</t>
        </is>
      </c>
    </row>
    <row r="7">
      <c r="A7" s="3" t="inlineStr">
        <is>
          <t>Legislative Risk Defense Score</t>
        </is>
      </c>
      <c r="B7" s="4" t="n">
        <v>22</v>
      </c>
      <c r="C7" s="4" t="inlineStr">
        <is>
          <t>Max 25 Pts</t>
        </is>
      </c>
      <c r="D7" s="3" t="inlineStr">
        <is>
          <t>Clearing speed timeline defense score.</t>
        </is>
      </c>
    </row>
    <row r="8">
      <c r="A8" s="5" t="inlineStr">
        <is>
          <t>FINAL RETIREMENT SUITABILITY INDEX</t>
        </is>
      </c>
      <c r="B8" s="6" t="inlineStr">
        <is>
          <t>71.5 / 100</t>
        </is>
      </c>
      <c r="C8" s="6" t="inlineStr">
        <is>
          <t>Combined Total</t>
        </is>
      </c>
      <c r="D8" s="5" t="inlineStr">
        <is>
          <t>Strategic filter scorecard suitability total.</t>
        </is>
      </c>
    </row>
    <row r="9"/>
    <row r="10">
      <c r="A10" s="5" t="inlineStr">
        <is>
          <t>Total Multi-Year Allowable Conversion Volume</t>
        </is>
      </c>
      <c r="B10" s="7">
        <f>SUM('Ledger Summary Rank 1392'!L28:L71)</f>
        <v/>
      </c>
      <c r="C10" s="7">
        <f>SUM('Ledger Summary Rank 1392'!L28:L71)</f>
        <v/>
      </c>
    </row>
    <row r="11">
      <c r="A11" s="5" t="inlineStr">
        <is>
          <t>Cumulative Tax Pool Paid to Convert</t>
        </is>
      </c>
      <c r="B11" s="7">
        <f>SUM('Ledger Summary Rank 1392'!F28:F71)</f>
        <v/>
      </c>
      <c r="C11" s="7">
        <f>SUM('Ledger Summary Rank 1392'!F28:F71)</f>
        <v/>
      </c>
    </row>
    <row r="12">
      <c r="A12" s="5" t="inlineStr">
        <is>
          <t>Total Lifetime ACA / Medicare Insurance Costs</t>
        </is>
      </c>
      <c r="B12" s="7">
        <f>SUM('Ledger Summary Rank 1392'!G28:H71)</f>
        <v/>
      </c>
      <c r="C12" s="7">
        <f>SUM('Ledger Summary Rank 1392'!G28:G71)</f>
        <v/>
      </c>
    </row>
    <row r="13">
      <c r="A13" s="5" t="inlineStr">
        <is>
          <t>Overall Total Value inside the Roth at Age 90</t>
        </is>
      </c>
      <c r="B13" s="7">
        <f>'Ledger Summary Rank 1392'!M71</f>
        <v/>
      </c>
      <c r="C13" s="7">
        <f>'Ledger Summary Rank 1392'!M71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8" customWidth="1" min="2" max="2"/>
    <col width="18" customWidth="1" min="3" max="3"/>
    <col width="23" customWidth="1" min="4" max="4"/>
    <col width="23" customWidth="1" min="5" max="5"/>
    <col width="23" customWidth="1" min="6" max="6"/>
    <col width="25" customWidth="1" min="7" max="7"/>
    <col width="23" customWidth="1" min="8" max="8"/>
    <col width="22" customWidth="1" min="9" max="9"/>
    <col width="23" customWidth="1" min="10" max="10"/>
    <col width="25" customWidth="1" min="11" max="11"/>
    <col width="23" customWidth="1" min="12" max="12"/>
    <col width="23" customWidth="1" min="13" max="13"/>
    <col width="18" customWidth="1" min="14" max="14"/>
    <col width="18" customWidth="1" min="15" max="15"/>
    <col width="44" customWidth="1" min="16" max="16"/>
    <col width="23" customWidth="1" min="17" max="17"/>
    <col width="24" customWidth="1" min="18" max="18"/>
    <col width="23" customWidth="1" min="19" max="19"/>
    <col width="23" customWidth="1" min="20" max="20"/>
  </cols>
  <sheetData>
    <row r="1">
      <c r="A1" s="1" t="inlineStr">
        <is>
          <t>CHRONOLOGICAL CONVERSION TIMELINE TRANSACTIONS MATRIX - COMPLIANCE RECORDS</t>
        </is>
      </c>
    </row>
    <row r="2"/>
    <row r="3">
      <c r="A3" s="8" t="inlineStr">
        <is>
          <t>Year</t>
        </is>
      </c>
      <c r="B3" s="8" t="inlineStr">
        <is>
          <t>Wife Age</t>
        </is>
      </c>
      <c r="C3" s="8" t="inlineStr">
        <is>
          <t>Husband Age</t>
        </is>
      </c>
      <c r="D3" s="8" t="inlineStr">
        <is>
          <t>Brokerage Start</t>
        </is>
      </c>
      <c r="E3" s="8" t="inlineStr">
        <is>
          <t>401k Start</t>
        </is>
      </c>
      <c r="F3" s="8" t="inlineStr">
        <is>
          <t>Roth Start</t>
        </is>
      </c>
      <c r="G3" s="8" t="inlineStr">
        <is>
          <t>Yearly Income Needed</t>
        </is>
      </c>
      <c r="H3" s="8" t="inlineStr">
        <is>
          <t>Healthcare Cost</t>
        </is>
      </c>
      <c r="I3" s="8" t="inlineStr">
        <is>
          <t>Estimated Taxes</t>
        </is>
      </c>
      <c r="J3" s="8" t="inlineStr">
        <is>
          <t>Total Outflow</t>
        </is>
      </c>
      <c r="K3" s="8" t="inlineStr">
        <is>
          <t>From Pension/SS/Rent</t>
        </is>
      </c>
      <c r="L3" s="8" t="inlineStr">
        <is>
          <t>From Brokerage</t>
        </is>
      </c>
      <c r="M3" s="8" t="inlineStr">
        <is>
          <t>From Roth</t>
        </is>
      </c>
      <c r="N3" s="8" t="inlineStr">
        <is>
          <t>From 401(k)</t>
        </is>
      </c>
      <c r="O3" s="8" t="inlineStr">
        <is>
          <t>Mandatory RMD</t>
        </is>
      </c>
      <c r="P3" s="8" t="inlineStr">
        <is>
          <t>Total Taxable Income</t>
        </is>
      </c>
      <c r="Q3" s="8" t="inlineStr">
        <is>
          <t>Brokerage End</t>
        </is>
      </c>
      <c r="R3" s="8" t="inlineStr">
        <is>
          <t>Max Roth Conversion</t>
        </is>
      </c>
      <c r="S3" s="8" t="inlineStr">
        <is>
          <t>401(k) End</t>
        </is>
      </c>
      <c r="T3" s="8" t="inlineStr">
        <is>
          <t>Roth End</t>
        </is>
      </c>
    </row>
    <row r="4">
      <c r="A4" s="9" t="n">
        <v>1</v>
      </c>
      <c r="B4" s="9" t="n">
        <v>47</v>
      </c>
      <c r="C4" s="9" t="n">
        <v>46</v>
      </c>
      <c r="D4" s="10" t="n">
        <v>456986.29</v>
      </c>
      <c r="E4" s="10" t="n">
        <v>1476432.85</v>
      </c>
      <c r="F4" s="10" t="n">
        <v>130967.93</v>
      </c>
      <c r="G4" s="10" t="n">
        <v>65000</v>
      </c>
      <c r="H4" s="10" t="n">
        <v>0</v>
      </c>
      <c r="I4" s="10" t="n">
        <v>71029.10000000001</v>
      </c>
      <c r="J4" s="10" t="n">
        <v>136029.1</v>
      </c>
      <c r="K4" s="10" t="n">
        <v>24000</v>
      </c>
      <c r="L4" s="10" t="n">
        <v>106464.4743333333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364542.6882933333</v>
      </c>
      <c r="R4" s="10" t="n">
        <v>392100</v>
      </c>
      <c r="S4" s="10" t="n">
        <v>1149392.821</v>
      </c>
      <c r="T4" s="10" t="n">
        <v>554452.0058</v>
      </c>
    </row>
    <row r="5">
      <c r="A5" s="4" t="n">
        <v>2</v>
      </c>
      <c r="B5" s="4" t="n">
        <v>48</v>
      </c>
      <c r="C5" s="4" t="n">
        <v>47</v>
      </c>
      <c r="D5" s="7" t="n">
        <v>364542.6882933333</v>
      </c>
      <c r="E5" s="7" t="n">
        <v>1149392.821</v>
      </c>
      <c r="F5" s="7" t="n">
        <v>554452.0058</v>
      </c>
      <c r="G5" s="7" t="n">
        <v>66950</v>
      </c>
      <c r="H5" s="7" t="n">
        <v>0</v>
      </c>
      <c r="I5" s="7" t="n">
        <v>35891.1725</v>
      </c>
      <c r="J5" s="7" t="n">
        <v>102841.1725</v>
      </c>
      <c r="K5" s="7" t="n">
        <v>24720</v>
      </c>
      <c r="L5" s="7" t="n">
        <v>120362.01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253947.9054250666</v>
      </c>
      <c r="R5" s="7" t="n">
        <v>215527.5</v>
      </c>
      <c r="S5" s="7" t="n">
        <v>989897.2402600003</v>
      </c>
      <c r="T5" s="7" t="n">
        <v>816178.276148</v>
      </c>
    </row>
    <row r="6">
      <c r="A6" s="9" t="n">
        <v>3</v>
      </c>
      <c r="B6" s="9" t="n">
        <v>49</v>
      </c>
      <c r="C6" s="9" t="n">
        <v>48</v>
      </c>
      <c r="D6" s="10" t="n">
        <v>253947.9054250666</v>
      </c>
      <c r="E6" s="10" t="n">
        <v>989897.2402600003</v>
      </c>
      <c r="F6" s="10" t="n">
        <v>816178.276148</v>
      </c>
      <c r="G6" s="10" t="n">
        <v>68958.5</v>
      </c>
      <c r="H6" s="10" t="n">
        <v>0</v>
      </c>
      <c r="I6" s="10" t="n">
        <v>75780.99911</v>
      </c>
      <c r="J6" s="10" t="n">
        <v>144739.49911</v>
      </c>
      <c r="K6" s="10" t="n">
        <v>25461.6</v>
      </c>
      <c r="L6" s="10" t="n">
        <v>119277.89911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140056.8065676693</v>
      </c>
      <c r="R6" s="10" t="n">
        <v>415978.89</v>
      </c>
      <c r="S6" s="10" t="n">
        <v>608353.4512756004</v>
      </c>
      <c r="T6" s="10" t="n">
        <v>1306086.59611688</v>
      </c>
    </row>
    <row r="7">
      <c r="A7" s="4" t="n">
        <v>4</v>
      </c>
      <c r="B7" s="4" t="n">
        <v>50</v>
      </c>
      <c r="C7" s="4" t="n">
        <v>49</v>
      </c>
      <c r="D7" s="7" t="n">
        <v>140056.8065676693</v>
      </c>
      <c r="E7" s="7" t="n">
        <v>608353.4512756004</v>
      </c>
      <c r="F7" s="7" t="n">
        <v>1306086.59611688</v>
      </c>
      <c r="G7" s="7" t="n">
        <v>71027.255</v>
      </c>
      <c r="H7" s="7" t="n">
        <v>0</v>
      </c>
      <c r="I7" s="7" t="n">
        <v>38503.17182525</v>
      </c>
      <c r="J7" s="7" t="n">
        <v>109530.42682525</v>
      </c>
      <c r="K7" s="7" t="n">
        <v>26225.448</v>
      </c>
      <c r="L7" s="7" t="n">
        <v>128160.906021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12371.73656853605</v>
      </c>
      <c r="R7" s="7" t="n">
        <v>228653.12475</v>
      </c>
      <c r="S7" s="7" t="n">
        <v>402482.3461171364</v>
      </c>
      <c r="T7" s="7" t="n">
        <v>1626824.104118893</v>
      </c>
    </row>
    <row r="8">
      <c r="A8" s="9" t="n">
        <v>5</v>
      </c>
      <c r="B8" s="9" t="n">
        <v>51</v>
      </c>
      <c r="C8" s="9" t="n">
        <v>50</v>
      </c>
      <c r="D8" s="10" t="n">
        <v>12371.73656853605</v>
      </c>
      <c r="E8" s="10" t="n">
        <v>402482.3461171364</v>
      </c>
      <c r="F8" s="10" t="n">
        <v>1626824.104118893</v>
      </c>
      <c r="G8" s="10" t="n">
        <v>73158.07265</v>
      </c>
      <c r="H8" s="10" t="n">
        <v>0</v>
      </c>
      <c r="I8" s="10" t="n">
        <v>73095.18687731015</v>
      </c>
      <c r="J8" s="10" t="n">
        <v>146253.2595273101</v>
      </c>
      <c r="K8" s="10" t="n">
        <v>27012.21144</v>
      </c>
      <c r="L8" s="10" t="n">
        <v>12371.73656853605</v>
      </c>
      <c r="M8" s="10" t="n">
        <v>106869.32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402482.3461171364</v>
      </c>
      <c r="S8" s="10" t="n">
        <v>0</v>
      </c>
      <c r="T8" s="10" t="n">
        <v>2037783.358050191</v>
      </c>
    </row>
    <row r="9">
      <c r="A9" s="4" t="n">
        <v>6</v>
      </c>
      <c r="B9" s="4" t="n">
        <v>52</v>
      </c>
      <c r="C9" s="4" t="n">
        <v>51</v>
      </c>
      <c r="D9" s="7" t="n">
        <v>0</v>
      </c>
      <c r="E9" s="7" t="n">
        <v>0</v>
      </c>
      <c r="F9" s="7" t="n">
        <v>2037783.358050191</v>
      </c>
      <c r="G9" s="7" t="n">
        <v>75352.8148295</v>
      </c>
      <c r="H9" s="7" t="n">
        <v>0</v>
      </c>
      <c r="I9" s="7" t="n">
        <v>0</v>
      </c>
      <c r="J9" s="7" t="n">
        <v>75352.8148295</v>
      </c>
      <c r="K9" s="7" t="n">
        <v>27822.5777832</v>
      </c>
      <c r="L9" s="7" t="n">
        <v>0</v>
      </c>
      <c r="M9" s="7" t="n">
        <v>127934.92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2024439.344333203</v>
      </c>
    </row>
    <row r="10">
      <c r="A10" s="9" t="n">
        <v>7</v>
      </c>
      <c r="B10" s="9" t="n">
        <v>53</v>
      </c>
      <c r="C10" s="9" t="n">
        <v>52</v>
      </c>
      <c r="D10" s="10" t="n">
        <v>0</v>
      </c>
      <c r="E10" s="10" t="n">
        <v>0</v>
      </c>
      <c r="F10" s="10" t="n">
        <v>2024439.344333203</v>
      </c>
      <c r="G10" s="10" t="n">
        <v>77613.39927438501</v>
      </c>
      <c r="H10" s="10" t="n">
        <v>0</v>
      </c>
      <c r="I10" s="10" t="n">
        <v>0</v>
      </c>
      <c r="J10" s="10" t="n">
        <v>77613.39927438501</v>
      </c>
      <c r="K10" s="10" t="n">
        <v>28657.255116696</v>
      </c>
      <c r="L10" s="10" t="n">
        <v>0</v>
      </c>
      <c r="M10" s="10" t="n">
        <v>48956.16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2094012.175393195</v>
      </c>
    </row>
    <row r="11">
      <c r="A11" s="4" t="n">
        <v>8</v>
      </c>
      <c r="B11" s="4" t="n">
        <v>54</v>
      </c>
      <c r="C11" s="4" t="n">
        <v>53</v>
      </c>
      <c r="D11" s="7" t="n">
        <v>0</v>
      </c>
      <c r="E11" s="7" t="n">
        <v>0</v>
      </c>
      <c r="F11" s="7" t="n">
        <v>2094012.175393195</v>
      </c>
      <c r="G11" s="7" t="n">
        <v>122987.386542487</v>
      </c>
      <c r="H11" s="7" t="n">
        <v>5903.394554039377</v>
      </c>
      <c r="I11" s="7" t="n">
        <v>0</v>
      </c>
      <c r="J11" s="7" t="n">
        <v>128890.7810965264</v>
      </c>
      <c r="K11" s="7" t="n">
        <v>0</v>
      </c>
      <c r="L11" s="7" t="n">
        <v>0</v>
      </c>
      <c r="M11" s="7" t="n">
        <v>128890.8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2083028.657916787</v>
      </c>
    </row>
    <row r="12">
      <c r="A12" s="9" t="n">
        <v>9</v>
      </c>
      <c r="B12" s="9" t="n">
        <v>55</v>
      </c>
      <c r="C12" s="9" t="n">
        <v>54</v>
      </c>
      <c r="D12" s="10" t="n">
        <v>0</v>
      </c>
      <c r="E12" s="10" t="n">
        <v>0</v>
      </c>
      <c r="F12" s="10" t="n">
        <v>2083028.657916787</v>
      </c>
      <c r="G12" s="10" t="n">
        <v>126677.0081387616</v>
      </c>
      <c r="H12" s="10" t="n">
        <v>6080.496390660559</v>
      </c>
      <c r="I12" s="10" t="n">
        <v>0</v>
      </c>
      <c r="J12" s="10" t="n">
        <v>132757.5045294222</v>
      </c>
      <c r="K12" s="10" t="n">
        <v>0</v>
      </c>
      <c r="L12" s="10" t="n">
        <v>0</v>
      </c>
      <c r="M12" s="10" t="n">
        <v>132757.56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2067287.363791794</v>
      </c>
    </row>
    <row r="13">
      <c r="A13" s="4" t="n">
        <v>10</v>
      </c>
      <c r="B13" s="4" t="n">
        <v>56</v>
      </c>
      <c r="C13" s="4" t="n">
        <v>55</v>
      </c>
      <c r="D13" s="7" t="n">
        <v>0</v>
      </c>
      <c r="E13" s="7" t="n">
        <v>0</v>
      </c>
      <c r="F13" s="7" t="n">
        <v>2067287.363791794</v>
      </c>
      <c r="G13" s="7" t="n">
        <v>130477.3183829245</v>
      </c>
      <c r="H13" s="7" t="n">
        <v>6262.911282380375</v>
      </c>
      <c r="I13" s="7" t="n">
        <v>0</v>
      </c>
      <c r="J13" s="7" t="n">
        <v>136740.2296653049</v>
      </c>
      <c r="K13" s="7" t="n">
        <v>0</v>
      </c>
      <c r="L13" s="7" t="n">
        <v>0</v>
      </c>
      <c r="M13" s="7" t="n">
        <v>136740.24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2046379.951219302</v>
      </c>
    </row>
    <row r="14">
      <c r="A14" s="9" t="n">
        <v>11</v>
      </c>
      <c r="B14" s="9" t="n">
        <v>57</v>
      </c>
      <c r="C14" s="9" t="n">
        <v>56</v>
      </c>
      <c r="D14" s="10" t="n">
        <v>0</v>
      </c>
      <c r="E14" s="10" t="n">
        <v>0</v>
      </c>
      <c r="F14" s="10" t="n">
        <v>2046379.951219302</v>
      </c>
      <c r="G14" s="10" t="n">
        <v>134391.6379344122</v>
      </c>
      <c r="H14" s="10" t="n">
        <v>6450.798620851787</v>
      </c>
      <c r="I14" s="10" t="n">
        <v>0</v>
      </c>
      <c r="J14" s="10" t="n">
        <v>140842.436555264</v>
      </c>
      <c r="K14" s="10" t="n">
        <v>0</v>
      </c>
      <c r="L14" s="10" t="n">
        <v>0</v>
      </c>
      <c r="M14" s="10" t="n">
        <v>140842.44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2019869.76189246</v>
      </c>
    </row>
    <row r="15">
      <c r="A15" s="4" t="n">
        <v>12</v>
      </c>
      <c r="B15" s="4" t="n">
        <v>58</v>
      </c>
      <c r="C15" s="4" t="n">
        <v>57</v>
      </c>
      <c r="D15" s="7" t="n">
        <v>0</v>
      </c>
      <c r="E15" s="7" t="n">
        <v>0</v>
      </c>
      <c r="F15" s="7" t="n">
        <v>2019869.76189246</v>
      </c>
      <c r="G15" s="7" t="n">
        <v>138423.3870724446</v>
      </c>
      <c r="H15" s="7" t="n">
        <v>6644.322579477341</v>
      </c>
      <c r="I15" s="7" t="n">
        <v>0</v>
      </c>
      <c r="J15" s="7" t="n">
        <v>145067.7096519219</v>
      </c>
      <c r="K15" s="7" t="n">
        <v>0</v>
      </c>
      <c r="L15" s="7" t="n">
        <v>0</v>
      </c>
      <c r="M15" s="7" t="n">
        <v>145067.76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1987290.122006007</v>
      </c>
    </row>
    <row r="16">
      <c r="A16" s="9" t="n">
        <v>13</v>
      </c>
      <c r="B16" s="9" t="n">
        <v>59</v>
      </c>
      <c r="C16" s="9" t="n">
        <v>58</v>
      </c>
      <c r="D16" s="10" t="n">
        <v>0</v>
      </c>
      <c r="E16" s="10" t="n">
        <v>0</v>
      </c>
      <c r="F16" s="10" t="n">
        <v>1987290.122006007</v>
      </c>
      <c r="G16" s="10" t="n">
        <v>142576.0886846179</v>
      </c>
      <c r="H16" s="10" t="n">
        <v>6843.652256861661</v>
      </c>
      <c r="I16" s="10" t="n">
        <v>0</v>
      </c>
      <c r="J16" s="10" t="n">
        <v>149419.7409414796</v>
      </c>
      <c r="K16" s="10" t="n">
        <v>0</v>
      </c>
      <c r="L16" s="10" t="n">
        <v>0</v>
      </c>
      <c r="M16" s="10" t="n">
        <v>149419.8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1948142.541326368</v>
      </c>
    </row>
    <row r="17">
      <c r="A17" s="4" t="n">
        <v>14</v>
      </c>
      <c r="B17" s="4" t="n">
        <v>60</v>
      </c>
      <c r="C17" s="4" t="n">
        <v>59</v>
      </c>
      <c r="D17" s="7" t="n">
        <v>0</v>
      </c>
      <c r="E17" s="7" t="n">
        <v>0</v>
      </c>
      <c r="F17" s="7" t="n">
        <v>1948142.541326368</v>
      </c>
      <c r="G17" s="7" t="n">
        <v>146853.3713451565</v>
      </c>
      <c r="H17" s="7" t="n">
        <v>7048.961824567511</v>
      </c>
      <c r="I17" s="7" t="n">
        <v>0</v>
      </c>
      <c r="J17" s="7" t="n">
        <v>153902.333169724</v>
      </c>
      <c r="K17" s="7" t="n">
        <v>0</v>
      </c>
      <c r="L17" s="7" t="n">
        <v>0</v>
      </c>
      <c r="M17" s="7" t="n">
        <v>153902.28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1901894.67700595</v>
      </c>
    </row>
    <row r="18">
      <c r="A18" s="9" t="n">
        <v>15</v>
      </c>
      <c r="B18" s="9" t="n">
        <v>61</v>
      </c>
      <c r="C18" s="9" t="n">
        <v>60</v>
      </c>
      <c r="D18" s="10" t="n">
        <v>0</v>
      </c>
      <c r="E18" s="10" t="n">
        <v>0</v>
      </c>
      <c r="F18" s="10" t="n">
        <v>1901894.67700595</v>
      </c>
      <c r="G18" s="10" t="n">
        <v>151258.9724855112</v>
      </c>
      <c r="H18" s="10" t="n">
        <v>7260.430679304537</v>
      </c>
      <c r="I18" s="10" t="n">
        <v>0</v>
      </c>
      <c r="J18" s="10" t="n">
        <v>158519.4031648157</v>
      </c>
      <c r="K18" s="10" t="n">
        <v>35250</v>
      </c>
      <c r="L18" s="10" t="n">
        <v>0</v>
      </c>
      <c r="M18" s="10" t="n">
        <v>123269.4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1885342.793626307</v>
      </c>
    </row>
    <row r="19">
      <c r="A19" s="4" t="n">
        <v>16</v>
      </c>
      <c r="B19" s="4" t="n">
        <v>62</v>
      </c>
      <c r="C19" s="4" t="n">
        <v>61</v>
      </c>
      <c r="D19" s="7" t="n">
        <v>0</v>
      </c>
      <c r="E19" s="7" t="n">
        <v>0</v>
      </c>
      <c r="F19" s="7" t="n">
        <v>1885342.793626307</v>
      </c>
      <c r="G19" s="7" t="n">
        <v>155796.7416600765</v>
      </c>
      <c r="H19" s="7" t="n">
        <v>7478.243599683672</v>
      </c>
      <c r="I19" s="7" t="n">
        <v>0</v>
      </c>
      <c r="J19" s="7" t="n">
        <v>163274.9852597602</v>
      </c>
      <c r="K19" s="7" t="n">
        <v>135250</v>
      </c>
      <c r="L19" s="7" t="n">
        <v>0</v>
      </c>
      <c r="M19" s="7" t="n">
        <v>28025.03999999999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1968756.818843886</v>
      </c>
    </row>
    <row r="20">
      <c r="A20" s="9" t="n">
        <v>17</v>
      </c>
      <c r="B20" s="9" t="n">
        <v>63</v>
      </c>
      <c r="C20" s="9" t="n">
        <v>62</v>
      </c>
      <c r="D20" s="10" t="n">
        <v>0</v>
      </c>
      <c r="E20" s="10" t="n">
        <v>0</v>
      </c>
      <c r="F20" s="10" t="n">
        <v>1968756.818843886</v>
      </c>
      <c r="G20" s="10" t="n">
        <v>160470.6439098788</v>
      </c>
      <c r="H20" s="10" t="n">
        <v>7702.590907674184</v>
      </c>
      <c r="I20" s="10" t="n">
        <v>0</v>
      </c>
      <c r="J20" s="10" t="n">
        <v>168173.234817553</v>
      </c>
      <c r="K20" s="10" t="n">
        <v>135250</v>
      </c>
      <c r="L20" s="10" t="n">
        <v>0</v>
      </c>
      <c r="M20" s="10" t="n">
        <v>32923.19999999999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2051983.635974519</v>
      </c>
    </row>
    <row r="21">
      <c r="A21" s="4" t="n">
        <v>18</v>
      </c>
      <c r="B21" s="4" t="n">
        <v>64</v>
      </c>
      <c r="C21" s="4" t="n">
        <v>63</v>
      </c>
      <c r="D21" s="7" t="n">
        <v>0</v>
      </c>
      <c r="E21" s="7" t="n">
        <v>0</v>
      </c>
      <c r="F21" s="7" t="n">
        <v>2051983.635974519</v>
      </c>
      <c r="G21" s="7" t="n">
        <v>165284.7632271752</v>
      </c>
      <c r="H21" s="7" t="n">
        <v>7933.668634904408</v>
      </c>
      <c r="I21" s="7" t="n">
        <v>0</v>
      </c>
      <c r="J21" s="7" t="n">
        <v>173218.4318620796</v>
      </c>
      <c r="K21" s="7" t="n">
        <v>135250</v>
      </c>
      <c r="L21" s="7" t="n">
        <v>0</v>
      </c>
      <c r="M21" s="7" t="n">
        <v>37968.48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2134856.065332991</v>
      </c>
    </row>
    <row r="22">
      <c r="A22" s="9" t="n">
        <v>19</v>
      </c>
      <c r="B22" s="9" t="n">
        <v>65</v>
      </c>
      <c r="C22" s="9" t="n">
        <v>64</v>
      </c>
      <c r="D22" s="10" t="n">
        <v>0</v>
      </c>
      <c r="E22" s="10" t="n">
        <v>0</v>
      </c>
      <c r="F22" s="10" t="n">
        <v>2134856.065332991</v>
      </c>
      <c r="G22" s="10" t="n">
        <v>170243.3061239904</v>
      </c>
      <c r="H22" s="10" t="n">
        <v>16343.35738790308</v>
      </c>
      <c r="I22" s="10" t="n">
        <v>0</v>
      </c>
      <c r="J22" s="10" t="n">
        <v>186586.6635118935</v>
      </c>
      <c r="K22" s="10" t="n">
        <v>135250</v>
      </c>
      <c r="L22" s="10" t="n">
        <v>0</v>
      </c>
      <c r="M22" s="10" t="n">
        <v>51336.71999999999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2208530.50605297</v>
      </c>
    </row>
    <row r="23">
      <c r="A23" s="4" t="n">
        <v>20</v>
      </c>
      <c r="B23" s="4" t="n">
        <v>66</v>
      </c>
      <c r="C23" s="4" t="n">
        <v>65</v>
      </c>
      <c r="D23" s="7" t="n">
        <v>0</v>
      </c>
      <c r="E23" s="7" t="n">
        <v>0</v>
      </c>
      <c r="F23" s="7" t="n">
        <v>2208530.50605297</v>
      </c>
      <c r="G23" s="7" t="n">
        <v>175350.6053077102</v>
      </c>
      <c r="H23" s="7" t="n">
        <v>16833.65810954017</v>
      </c>
      <c r="I23" s="7" t="n">
        <v>0</v>
      </c>
      <c r="J23" s="7" t="n">
        <v>192184.2634172503</v>
      </c>
      <c r="K23" s="7" t="n">
        <v>135250</v>
      </c>
      <c r="L23" s="7" t="n">
        <v>0</v>
      </c>
      <c r="M23" s="7" t="n">
        <v>56934.24000000002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2280692.042016148</v>
      </c>
    </row>
    <row r="24">
      <c r="A24" s="9" t="n">
        <v>21</v>
      </c>
      <c r="B24" s="9" t="n">
        <v>67</v>
      </c>
      <c r="C24" s="9" t="n">
        <v>66</v>
      </c>
      <c r="D24" s="10" t="n">
        <v>0</v>
      </c>
      <c r="E24" s="10" t="n">
        <v>0</v>
      </c>
      <c r="F24" s="10" t="n">
        <v>2280692.042016148</v>
      </c>
      <c r="G24" s="10" t="n">
        <v>180611.1234669415</v>
      </c>
      <c r="H24" s="10" t="n">
        <v>17338.66785282638</v>
      </c>
      <c r="I24" s="10" t="n">
        <v>0</v>
      </c>
      <c r="J24" s="10" t="n">
        <v>197949.7913197679</v>
      </c>
      <c r="K24" s="10" t="n">
        <v>135250</v>
      </c>
      <c r="L24" s="10" t="n">
        <v>0</v>
      </c>
      <c r="M24" s="10" t="n">
        <v>62699.75999999998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2351071.818937117</v>
      </c>
    </row>
    <row r="25">
      <c r="A25" s="4" t="n">
        <v>22</v>
      </c>
      <c r="B25" s="4" t="n">
        <v>68</v>
      </c>
      <c r="C25" s="4" t="n">
        <v>67</v>
      </c>
      <c r="D25" s="7" t="n">
        <v>0</v>
      </c>
      <c r="E25" s="7" t="n">
        <v>0</v>
      </c>
      <c r="F25" s="7" t="n">
        <v>2351071.818937117</v>
      </c>
      <c r="G25" s="7" t="n">
        <v>186029.4571709497</v>
      </c>
      <c r="H25" s="7" t="n">
        <v>17858.82788841117</v>
      </c>
      <c r="I25" s="7" t="n">
        <v>0</v>
      </c>
      <c r="J25" s="7" t="n">
        <v>203888.2850593609</v>
      </c>
      <c r="K25" s="7" t="n">
        <v>135250</v>
      </c>
      <c r="L25" s="7" t="n">
        <v>0</v>
      </c>
      <c r="M25" s="7" t="n">
        <v>68638.31999999999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2419379.508873344</v>
      </c>
    </row>
    <row r="26">
      <c r="A26" s="9" t="n">
        <v>23</v>
      </c>
      <c r="B26" s="9" t="n">
        <v>69</v>
      </c>
      <c r="C26" s="9" t="n">
        <v>68</v>
      </c>
      <c r="D26" s="10" t="n">
        <v>0</v>
      </c>
      <c r="E26" s="10" t="n">
        <v>0</v>
      </c>
      <c r="F26" s="10" t="n">
        <v>2419379.508873344</v>
      </c>
      <c r="G26" s="10" t="n">
        <v>191610.3408860782</v>
      </c>
      <c r="H26" s="10" t="n">
        <v>18394.59272506351</v>
      </c>
      <c r="I26" s="10" t="n">
        <v>0</v>
      </c>
      <c r="J26" s="10" t="n">
        <v>210004.9336111417</v>
      </c>
      <c r="K26" s="10" t="n">
        <v>135250</v>
      </c>
      <c r="L26" s="10" t="n">
        <v>0</v>
      </c>
      <c r="M26" s="10" t="n">
        <v>74754.96000000001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2485302.021805745</v>
      </c>
    </row>
    <row r="27">
      <c r="A27" s="4" t="n">
        <v>24</v>
      </c>
      <c r="B27" s="4" t="n">
        <v>70</v>
      </c>
      <c r="C27" s="4" t="n">
        <v>69</v>
      </c>
      <c r="D27" s="7" t="n">
        <v>0</v>
      </c>
      <c r="E27" s="7" t="n">
        <v>0</v>
      </c>
      <c r="F27" s="7" t="n">
        <v>2485302.021805745</v>
      </c>
      <c r="G27" s="7" t="n">
        <v>167754.8534457615</v>
      </c>
      <c r="H27" s="7" t="n">
        <v>18946.43050681542</v>
      </c>
      <c r="I27" s="7" t="n">
        <v>0</v>
      </c>
      <c r="J27" s="7" t="n">
        <v>186701.2839525769</v>
      </c>
      <c r="K27" s="7" t="n">
        <v>135250</v>
      </c>
      <c r="L27" s="7" t="n">
        <v>0</v>
      </c>
      <c r="M27" s="7" t="n">
        <v>51451.32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2579881.74391409</v>
      </c>
    </row>
    <row r="28">
      <c r="A28" s="9" t="n">
        <v>25</v>
      </c>
      <c r="B28" s="9" t="n">
        <v>71</v>
      </c>
      <c r="C28" s="9" t="n">
        <v>70</v>
      </c>
      <c r="D28" s="10" t="n">
        <v>0</v>
      </c>
      <c r="E28" s="10" t="n">
        <v>0</v>
      </c>
      <c r="F28" s="10" t="n">
        <v>2579881.74391409</v>
      </c>
      <c r="G28" s="10" t="n">
        <v>172787.4990491343</v>
      </c>
      <c r="H28" s="10" t="n">
        <v>19514.82342201988</v>
      </c>
      <c r="I28" s="10" t="n">
        <v>0</v>
      </c>
      <c r="J28" s="10" t="n">
        <v>192302.3224711542</v>
      </c>
      <c r="K28" s="10" t="n">
        <v>135250</v>
      </c>
      <c r="L28" s="10" t="n">
        <v>0</v>
      </c>
      <c r="M28" s="10" t="n">
        <v>57052.32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2674199.189348936</v>
      </c>
    </row>
    <row r="29">
      <c r="A29" s="4" t="n">
        <v>26</v>
      </c>
      <c r="B29" s="4" t="n">
        <v>72</v>
      </c>
      <c r="C29" s="4" t="n">
        <v>71</v>
      </c>
      <c r="D29" s="7" t="n">
        <v>0</v>
      </c>
      <c r="E29" s="7" t="n">
        <v>0</v>
      </c>
      <c r="F29" s="7" t="n">
        <v>2674199.189348936</v>
      </c>
      <c r="G29" s="7" t="n">
        <v>177971.1240206084</v>
      </c>
      <c r="H29" s="7" t="n">
        <v>20100.26812468048</v>
      </c>
      <c r="I29" s="7" t="n">
        <v>0</v>
      </c>
      <c r="J29" s="7" t="n">
        <v>198071.3921452888</v>
      </c>
      <c r="K29" s="7" t="n">
        <v>135250</v>
      </c>
      <c r="L29" s="7" t="n">
        <v>0</v>
      </c>
      <c r="M29" s="7" t="n">
        <v>62821.44000000001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2768060.414309872</v>
      </c>
    </row>
    <row r="30">
      <c r="A30" s="9" t="n">
        <v>27</v>
      </c>
      <c r="B30" s="9" t="n">
        <v>73</v>
      </c>
      <c r="C30" s="9" t="n">
        <v>72</v>
      </c>
      <c r="D30" s="10" t="n">
        <v>0</v>
      </c>
      <c r="E30" s="10" t="n">
        <v>0</v>
      </c>
      <c r="F30" s="10" t="n">
        <v>2768060.414309872</v>
      </c>
      <c r="G30" s="10" t="n">
        <v>183310.2577412266</v>
      </c>
      <c r="H30" s="10" t="n">
        <v>20703.27616842089</v>
      </c>
      <c r="I30" s="10" t="n">
        <v>0</v>
      </c>
      <c r="J30" s="10" t="n">
        <v>204013.5339096475</v>
      </c>
      <c r="K30" s="10" t="n">
        <v>135250</v>
      </c>
      <c r="L30" s="10" t="n">
        <v>0</v>
      </c>
      <c r="M30" s="10" t="n">
        <v>68763.48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2861254.750368464</v>
      </c>
    </row>
    <row r="31">
      <c r="A31" s="4" t="n">
        <v>28</v>
      </c>
      <c r="B31" s="4" t="n">
        <v>74</v>
      </c>
      <c r="C31" s="4" t="n">
        <v>73</v>
      </c>
      <c r="D31" s="7" t="n">
        <v>0</v>
      </c>
      <c r="E31" s="7" t="n">
        <v>0</v>
      </c>
      <c r="F31" s="7" t="n">
        <v>2861254.750368464</v>
      </c>
      <c r="G31" s="7" t="n">
        <v>188809.5654734634</v>
      </c>
      <c r="H31" s="7" t="n">
        <v>21324.37445347352</v>
      </c>
      <c r="I31" s="7" t="n">
        <v>0</v>
      </c>
      <c r="J31" s="7" t="n">
        <v>210133.939926937</v>
      </c>
      <c r="K31" s="7" t="n">
        <v>135250</v>
      </c>
      <c r="L31" s="7" t="n">
        <v>0</v>
      </c>
      <c r="M31" s="7" t="n">
        <v>74883.96000000001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2953553.037790572</v>
      </c>
    </row>
    <row r="32">
      <c r="A32" s="9" t="n">
        <v>29</v>
      </c>
      <c r="B32" s="9" t="n">
        <v>75</v>
      </c>
      <c r="C32" s="9" t="n">
        <v>74</v>
      </c>
      <c r="D32" s="10" t="n">
        <v>0</v>
      </c>
      <c r="E32" s="10" t="n">
        <v>0</v>
      </c>
      <c r="F32" s="10" t="n">
        <v>2953553.037790572</v>
      </c>
      <c r="G32" s="10" t="n">
        <v>194473.8524376673</v>
      </c>
      <c r="H32" s="10" t="n">
        <v>21964.10568707772</v>
      </c>
      <c r="I32" s="10" t="n">
        <v>0</v>
      </c>
      <c r="J32" s="10" t="n">
        <v>216437.9581247451</v>
      </c>
      <c r="K32" s="10" t="n">
        <v>135250</v>
      </c>
      <c r="L32" s="10" t="n">
        <v>0</v>
      </c>
      <c r="M32" s="10" t="n">
        <v>81187.92000000003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3044707.024858007</v>
      </c>
    </row>
    <row r="33">
      <c r="A33" s="4" t="n">
        <v>30</v>
      </c>
      <c r="B33" s="4" t="n">
        <v>76</v>
      </c>
      <c r="C33" s="4" t="n">
        <v>75</v>
      </c>
      <c r="D33" s="7" t="n">
        <v>0</v>
      </c>
      <c r="E33" s="7" t="n">
        <v>0</v>
      </c>
      <c r="F33" s="7" t="n">
        <v>3044707.024858007</v>
      </c>
      <c r="G33" s="7" t="n">
        <v>200308.0680107974</v>
      </c>
      <c r="H33" s="7" t="n">
        <v>22623.02885769006</v>
      </c>
      <c r="I33" s="7" t="n">
        <v>0</v>
      </c>
      <c r="J33" s="7" t="n">
        <v>222931.0968684874</v>
      </c>
      <c r="K33" s="7" t="n">
        <v>135250</v>
      </c>
      <c r="L33" s="7" t="n">
        <v>0</v>
      </c>
      <c r="M33" s="7" t="n">
        <v>87681.12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3134447.459149487</v>
      </c>
    </row>
    <row r="34">
      <c r="A34" s="9" t="n">
        <v>31</v>
      </c>
      <c r="B34" s="9" t="n">
        <v>77</v>
      </c>
      <c r="C34" s="9" t="n">
        <v>76</v>
      </c>
      <c r="D34" s="10" t="n">
        <v>0</v>
      </c>
      <c r="E34" s="10" t="n">
        <v>0</v>
      </c>
      <c r="F34" s="10" t="n">
        <v>3134447.459149487</v>
      </c>
      <c r="G34" s="10" t="n">
        <v>206317.3100511213</v>
      </c>
      <c r="H34" s="10" t="n">
        <v>23301.71972342076</v>
      </c>
      <c r="I34" s="10" t="n">
        <v>0</v>
      </c>
      <c r="J34" s="10" t="n">
        <v>229619.029774542</v>
      </c>
      <c r="K34" s="10" t="n">
        <v>135250</v>
      </c>
      <c r="L34" s="10" t="n">
        <v>0</v>
      </c>
      <c r="M34" s="10" t="n">
        <v>94369.07999999997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3222483.081898456</v>
      </c>
    </row>
    <row r="35">
      <c r="A35" s="4" t="n">
        <v>32</v>
      </c>
      <c r="B35" s="4" t="n">
        <v>78</v>
      </c>
      <c r="C35" s="4" t="n">
        <v>77</v>
      </c>
      <c r="D35" s="7" t="n">
        <v>0</v>
      </c>
      <c r="E35" s="7" t="n">
        <v>0</v>
      </c>
      <c r="F35" s="7" t="n">
        <v>3222483.081898456</v>
      </c>
      <c r="G35" s="7" t="n">
        <v>212506.8293526549</v>
      </c>
      <c r="H35" s="7" t="n">
        <v>24000.77131512338</v>
      </c>
      <c r="I35" s="7" t="n">
        <v>0</v>
      </c>
      <c r="J35" s="7" t="n">
        <v>236507.6006677783</v>
      </c>
      <c r="K35" s="7" t="n">
        <v>135250</v>
      </c>
      <c r="L35" s="7" t="n">
        <v>0</v>
      </c>
      <c r="M35" s="7" t="n">
        <v>101257.56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3308499.053212364</v>
      </c>
    </row>
    <row r="36">
      <c r="A36" s="9" t="n">
        <v>33</v>
      </c>
      <c r="B36" s="9" t="n">
        <v>79</v>
      </c>
      <c r="C36" s="9" t="n">
        <v>78</v>
      </c>
      <c r="D36" s="10" t="n">
        <v>0</v>
      </c>
      <c r="E36" s="10" t="n">
        <v>0</v>
      </c>
      <c r="F36" s="10" t="n">
        <v>3308499.053212364</v>
      </c>
      <c r="G36" s="10" t="n">
        <v>218882.0342332346</v>
      </c>
      <c r="H36" s="10" t="n">
        <v>24720.79445457708</v>
      </c>
      <c r="I36" s="10" t="n">
        <v>0</v>
      </c>
      <c r="J36" s="10" t="n">
        <v>243602.8286878117</v>
      </c>
      <c r="K36" s="10" t="n">
        <v>135250</v>
      </c>
      <c r="L36" s="10" t="n">
        <v>0</v>
      </c>
      <c r="M36" s="10" t="n">
        <v>108352.8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3392155.028405106</v>
      </c>
    </row>
    <row r="37">
      <c r="A37" s="4" t="n">
        <v>34</v>
      </c>
      <c r="B37" s="4" t="n">
        <v>80</v>
      </c>
      <c r="C37" s="4" t="n">
        <v>79</v>
      </c>
      <c r="D37" s="7" t="n">
        <v>0</v>
      </c>
      <c r="E37" s="7" t="n">
        <v>0</v>
      </c>
      <c r="F37" s="7" t="n">
        <v>3392155.028405106</v>
      </c>
      <c r="G37" s="7" t="n">
        <v>185663.4666848966</v>
      </c>
      <c r="H37" s="7" t="n">
        <v>25462.41828821439</v>
      </c>
      <c r="I37" s="7" t="n">
        <v>0</v>
      </c>
      <c r="J37" s="7" t="n">
        <v>211125.884973111</v>
      </c>
      <c r="K37" s="7" t="n">
        <v>135250</v>
      </c>
      <c r="L37" s="7" t="n">
        <v>0</v>
      </c>
      <c r="M37" s="7" t="n">
        <v>75875.87999999999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3515255.897309413</v>
      </c>
    </row>
    <row r="38">
      <c r="A38" s="9" t="n">
        <v>35</v>
      </c>
      <c r="B38" s="9" t="n">
        <v>81</v>
      </c>
      <c r="C38" s="9" t="n">
        <v>80</v>
      </c>
      <c r="D38" s="10" t="n">
        <v>0</v>
      </c>
      <c r="E38" s="10" t="n">
        <v>0</v>
      </c>
      <c r="F38" s="10" t="n">
        <v>3515255.897309413</v>
      </c>
      <c r="G38" s="10" t="n">
        <v>191233.3706854435</v>
      </c>
      <c r="H38" s="10" t="n">
        <v>26226.29083686083</v>
      </c>
      <c r="I38" s="10" t="n">
        <v>0</v>
      </c>
      <c r="J38" s="10" t="n">
        <v>217459.6615223043</v>
      </c>
      <c r="K38" s="10" t="n">
        <v>135250</v>
      </c>
      <c r="L38" s="10" t="n">
        <v>0</v>
      </c>
      <c r="M38" s="10" t="n">
        <v>82209.71999999999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3639028.947947978</v>
      </c>
    </row>
    <row r="39">
      <c r="A39" s="4" t="n">
        <v>36</v>
      </c>
      <c r="B39" s="4" t="n">
        <v>82</v>
      </c>
      <c r="C39" s="4" t="n">
        <v>81</v>
      </c>
      <c r="D39" s="7" t="n">
        <v>0</v>
      </c>
      <c r="E39" s="7" t="n">
        <v>0</v>
      </c>
      <c r="F39" s="7" t="n">
        <v>3639028.947947978</v>
      </c>
      <c r="G39" s="7" t="n">
        <v>196970.3718060068</v>
      </c>
      <c r="H39" s="7" t="n">
        <v>27013.07956196665</v>
      </c>
      <c r="I39" s="7" t="n">
        <v>0</v>
      </c>
      <c r="J39" s="7" t="n">
        <v>223983.4513679735</v>
      </c>
      <c r="K39" s="7" t="n">
        <v>135250</v>
      </c>
      <c r="L39" s="7" t="n">
        <v>0</v>
      </c>
      <c r="M39" s="7" t="n">
        <v>88733.39999999998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3763313.280824856</v>
      </c>
    </row>
    <row r="40">
      <c r="A40" s="9" t="n">
        <v>37</v>
      </c>
      <c r="B40" s="9" t="n">
        <v>83</v>
      </c>
      <c r="C40" s="9" t="n">
        <v>82</v>
      </c>
      <c r="D40" s="10" t="n">
        <v>0</v>
      </c>
      <c r="E40" s="10" t="n">
        <v>0</v>
      </c>
      <c r="F40" s="10" t="n">
        <v>3763313.280824856</v>
      </c>
      <c r="G40" s="10" t="n">
        <v>202879.4829601871</v>
      </c>
      <c r="H40" s="10" t="n">
        <v>27823.47194882566</v>
      </c>
      <c r="I40" s="10" t="n">
        <v>0</v>
      </c>
      <c r="J40" s="10" t="n">
        <v>230702.9549090127</v>
      </c>
      <c r="K40" s="10" t="n">
        <v>135250</v>
      </c>
      <c r="L40" s="10" t="n">
        <v>0</v>
      </c>
      <c r="M40" s="10" t="n">
        <v>95452.92000000003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3887931.982474348</v>
      </c>
    </row>
    <row r="41">
      <c r="A41" s="4" t="n">
        <v>38</v>
      </c>
      <c r="B41" s="4" t="n">
        <v>84</v>
      </c>
      <c r="C41" s="4" t="n">
        <v>83</v>
      </c>
      <c r="D41" s="7" t="n">
        <v>0</v>
      </c>
      <c r="E41" s="7" t="n">
        <v>0</v>
      </c>
      <c r="F41" s="7" t="n">
        <v>3887931.982474348</v>
      </c>
      <c r="G41" s="7" t="n">
        <v>208965.8674489927</v>
      </c>
      <c r="H41" s="7" t="n">
        <v>28658.17610729042</v>
      </c>
      <c r="I41" s="7" t="n">
        <v>0</v>
      </c>
      <c r="J41" s="7" t="n">
        <v>237624.0435562831</v>
      </c>
      <c r="K41" s="7" t="n">
        <v>135250</v>
      </c>
      <c r="L41" s="7" t="n">
        <v>0</v>
      </c>
      <c r="M41" s="7" t="n">
        <v>102374.04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4012691.419022809</v>
      </c>
    </row>
    <row r="42">
      <c r="A42" s="9" t="n">
        <v>39</v>
      </c>
      <c r="B42" s="9" t="n">
        <v>85</v>
      </c>
      <c r="C42" s="9" t="n">
        <v>84</v>
      </c>
      <c r="D42" s="10" t="n">
        <v>0</v>
      </c>
      <c r="E42" s="10" t="n">
        <v>0</v>
      </c>
      <c r="F42" s="10" t="n">
        <v>4012691.419022809</v>
      </c>
      <c r="G42" s="10" t="n">
        <v>215234.8434724625</v>
      </c>
      <c r="H42" s="10" t="n">
        <v>29517.92139050914</v>
      </c>
      <c r="I42" s="10" t="n">
        <v>0</v>
      </c>
      <c r="J42" s="10" t="n">
        <v>244752.7648629716</v>
      </c>
      <c r="K42" s="10" t="n">
        <v>135250</v>
      </c>
      <c r="L42" s="10" t="n">
        <v>0</v>
      </c>
      <c r="M42" s="10" t="n">
        <v>109502.76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4137379.978564178</v>
      </c>
    </row>
    <row r="43">
      <c r="A43" s="4" t="n">
        <v>40</v>
      </c>
      <c r="B43" s="4" t="n">
        <v>86</v>
      </c>
      <c r="C43" s="4" t="n">
        <v>85</v>
      </c>
      <c r="D43" s="7" t="n">
        <v>0</v>
      </c>
      <c r="E43" s="7" t="n">
        <v>0</v>
      </c>
      <c r="F43" s="7" t="n">
        <v>4137379.978564178</v>
      </c>
      <c r="G43" s="7" t="n">
        <v>221691.8887766363</v>
      </c>
      <c r="H43" s="7" t="n">
        <v>30403.45903222441</v>
      </c>
      <c r="I43" s="7" t="n">
        <v>0</v>
      </c>
      <c r="J43" s="7" t="n">
        <v>252095.3478088607</v>
      </c>
      <c r="K43" s="7" t="n">
        <v>135250</v>
      </c>
      <c r="L43" s="7" t="n">
        <v>0</v>
      </c>
      <c r="M43" s="7" t="n">
        <v>116845.32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4261766.738078029</v>
      </c>
    </row>
    <row r="44">
      <c r="A44" s="9" t="n">
        <v>41</v>
      </c>
      <c r="B44" s="9" t="n">
        <v>87</v>
      </c>
      <c r="C44" s="9" t="n">
        <v>86</v>
      </c>
      <c r="D44" s="10" t="n">
        <v>0</v>
      </c>
      <c r="E44" s="10" t="n">
        <v>0</v>
      </c>
      <c r="F44" s="10" t="n">
        <v>4261766.738078029</v>
      </c>
      <c r="G44" s="10" t="n">
        <v>228342.6454399354</v>
      </c>
      <c r="H44" s="10" t="n">
        <v>31315.56280319115</v>
      </c>
      <c r="I44" s="10" t="n">
        <v>0</v>
      </c>
      <c r="J44" s="10" t="n">
        <v>259658.2082431266</v>
      </c>
      <c r="K44" s="10" t="n">
        <v>135250</v>
      </c>
      <c r="L44" s="10" t="n">
        <v>0</v>
      </c>
      <c r="M44" s="10" t="n">
        <v>124408.2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4385600.050362711</v>
      </c>
    </row>
    <row r="45">
      <c r="A45" s="4" t="n">
        <v>42</v>
      </c>
      <c r="B45" s="4" t="n">
        <v>88</v>
      </c>
      <c r="C45" s="4" t="n">
        <v>87</v>
      </c>
      <c r="D45" s="7" t="n">
        <v>0</v>
      </c>
      <c r="E45" s="7" t="n">
        <v>0</v>
      </c>
      <c r="F45" s="7" t="n">
        <v>4385600.050362711</v>
      </c>
      <c r="G45" s="7" t="n">
        <v>235192.9248031335</v>
      </c>
      <c r="H45" s="7" t="n">
        <v>32255.02968728688</v>
      </c>
      <c r="I45" s="7" t="n">
        <v>0</v>
      </c>
      <c r="J45" s="7" t="n">
        <v>267447.9544904204</v>
      </c>
      <c r="K45" s="7" t="n">
        <v>135250</v>
      </c>
      <c r="L45" s="7" t="n">
        <v>0</v>
      </c>
      <c r="M45" s="7" t="n">
        <v>132198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4508606.173384474</v>
      </c>
    </row>
    <row r="46">
      <c r="A46" s="9" t="n">
        <v>43</v>
      </c>
      <c r="B46" s="9" t="n">
        <v>89</v>
      </c>
      <c r="C46" s="9" t="n">
        <v>88</v>
      </c>
      <c r="D46" s="10" t="n">
        <v>0</v>
      </c>
      <c r="E46" s="10" t="n">
        <v>0</v>
      </c>
      <c r="F46" s="10" t="n">
        <v>4508606.173384474</v>
      </c>
      <c r="G46" s="10" t="n">
        <v>242248.7125472275</v>
      </c>
      <c r="H46" s="10" t="n">
        <v>33222.68057790549</v>
      </c>
      <c r="I46" s="10" t="n">
        <v>0</v>
      </c>
      <c r="J46" s="10" t="n">
        <v>275471.393125133</v>
      </c>
      <c r="K46" s="10" t="n">
        <v>135250</v>
      </c>
      <c r="L46" s="10" t="n">
        <v>0</v>
      </c>
      <c r="M46" s="10" t="n">
        <v>140221.44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4630487.817387542</v>
      </c>
    </row>
    <row r="47">
      <c r="A47" s="4" t="n">
        <v>44</v>
      </c>
      <c r="B47" s="4" t="n">
        <v>90</v>
      </c>
      <c r="C47" s="4" t="n">
        <v>89</v>
      </c>
      <c r="D47" s="7" t="n">
        <v>0</v>
      </c>
      <c r="E47" s="7" t="n">
        <v>0</v>
      </c>
      <c r="F47" s="7" t="n">
        <v>4630487.817387542</v>
      </c>
      <c r="G47" s="7" t="n">
        <v>249516.1739236444</v>
      </c>
      <c r="H47" s="7" t="n">
        <v>34219.36099524266</v>
      </c>
      <c r="I47" s="7" t="n">
        <v>0</v>
      </c>
      <c r="J47" s="7" t="n">
        <v>283735.534918887</v>
      </c>
      <c r="K47" s="7" t="n">
        <v>135250</v>
      </c>
      <c r="L47" s="7" t="n">
        <v>0</v>
      </c>
      <c r="M47" s="7" t="n">
        <v>148485.48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4750922.477630794</v>
      </c>
    </row>
    <row r="48"/>
    <row r="49"/>
    <row r="50">
      <c r="P50" s="11" t="inlineStr">
        <is>
          <t>Total Combined Conversion Volume:</t>
        </is>
      </c>
      <c r="R50" s="12">
        <f>SUM(R4:R47)</f>
        <v/>
      </c>
    </row>
    <row r="51">
      <c r="P51" s="11" t="inlineStr">
        <is>
          <t>Total Conversion Taxes Paid:</t>
        </is>
      </c>
      <c r="R51" s="12">
        <f>R50*0.199</f>
        <v/>
      </c>
    </row>
    <row r="52">
      <c r="P52" s="11" t="inlineStr">
        <is>
          <t>Total Lifetime Healthcare Cost:</t>
        </is>
      </c>
      <c r="R52" s="12">
        <f>SUM(H4:H47)</f>
        <v/>
      </c>
    </row>
    <row r="53">
      <c r="P53" s="13" t="inlineStr">
        <is>
          <t>Total Un-matured Roth Principal Tapped:</t>
        </is>
      </c>
      <c r="R53" s="14">
        <f>SUM(N4:N47)</f>
        <v/>
      </c>
    </row>
    <row r="54">
      <c r="P54" s="13" t="inlineStr">
        <is>
          <t>Cumulative 10% IRS Penalty Fees Paid:</t>
        </is>
      </c>
      <c r="R54" s="14" t="n">
        <v>0</v>
      </c>
    </row>
    <row r="55">
      <c r="P55" s="11" t="inlineStr">
        <is>
          <t>Terminal Roth Value at Age 90:</t>
        </is>
      </c>
      <c r="R55" s="12">
        <f>T47</f>
        <v/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2026-10-05T21:18:21Z</dcterms:created>
  <dcterms:modified xsi:type="dcterms:W3CDTF">2026-10-05T21:18:21Z</dcterms:modified>
</cp:coreProperties>
</file>